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T0415\Downloads\"/>
    </mc:Choice>
  </mc:AlternateContent>
  <xr:revisionPtr revIDLastSave="0" documentId="8_{E5AEDC32-4D08-40E0-A16B-29E421064272}" xr6:coauthVersionLast="47" xr6:coauthVersionMax="47" xr10:uidLastSave="{00000000-0000-0000-0000-000000000000}"/>
  <bookViews>
    <workbookView xWindow="-108" yWindow="-108" windowWidth="23256" windowHeight="12456" xr2:uid="{8ADFF233-2FCB-4AC7-AED4-D4644D5B268F}"/>
  </bookViews>
  <sheets>
    <sheet name="MTO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46" i="1" l="1"/>
  <c r="AG246" i="1"/>
  <c r="AF246" i="1"/>
  <c r="AE246" i="1"/>
  <c r="Q246" i="1"/>
  <c r="O246" i="1"/>
  <c r="P246" i="1" s="1"/>
  <c r="L246" i="1"/>
  <c r="I246" i="1"/>
  <c r="H246" i="1"/>
  <c r="C246" i="1"/>
  <c r="AI245" i="1"/>
  <c r="AG245" i="1"/>
  <c r="AF245" i="1"/>
  <c r="AE245" i="1"/>
  <c r="Q245" i="1"/>
  <c r="O245" i="1"/>
  <c r="P245" i="1" s="1"/>
  <c r="L245" i="1"/>
  <c r="I245" i="1"/>
  <c r="H245" i="1"/>
  <c r="C245" i="1"/>
  <c r="AI244" i="1"/>
  <c r="AG244" i="1"/>
  <c r="AF244" i="1"/>
  <c r="AE244" i="1"/>
  <c r="Q244" i="1"/>
  <c r="O244" i="1"/>
  <c r="P244" i="1" s="1"/>
  <c r="L244" i="1"/>
  <c r="I244" i="1"/>
  <c r="H244" i="1"/>
  <c r="C244" i="1"/>
  <c r="AI243" i="1"/>
  <c r="AG243" i="1"/>
  <c r="AF243" i="1"/>
  <c r="AE243" i="1"/>
  <c r="Q243" i="1"/>
  <c r="O243" i="1"/>
  <c r="P243" i="1" s="1"/>
  <c r="L243" i="1"/>
  <c r="I243" i="1"/>
  <c r="H243" i="1"/>
  <c r="C243" i="1"/>
  <c r="AI242" i="1"/>
  <c r="AG242" i="1"/>
  <c r="AF242" i="1"/>
  <c r="AE242" i="1"/>
  <c r="Q242" i="1"/>
  <c r="O242" i="1"/>
  <c r="P242" i="1" s="1"/>
  <c r="L242" i="1"/>
  <c r="I242" i="1"/>
  <c r="H242" i="1"/>
  <c r="C242" i="1"/>
  <c r="AI241" i="1"/>
  <c r="AG241" i="1"/>
  <c r="AF241" i="1"/>
  <c r="AE241" i="1"/>
  <c r="Q241" i="1"/>
  <c r="O241" i="1"/>
  <c r="P241" i="1" s="1"/>
  <c r="L241" i="1"/>
  <c r="I241" i="1"/>
  <c r="H241" i="1"/>
  <c r="C241" i="1"/>
  <c r="AI240" i="1"/>
  <c r="AG240" i="1"/>
  <c r="AF240" i="1"/>
  <c r="AE240" i="1"/>
  <c r="Q240" i="1"/>
  <c r="P240" i="1"/>
  <c r="O240" i="1"/>
  <c r="L240" i="1"/>
  <c r="I240" i="1"/>
  <c r="H240" i="1"/>
  <c r="C240" i="1"/>
  <c r="AI239" i="1"/>
  <c r="AG239" i="1"/>
  <c r="AF239" i="1"/>
  <c r="AE239" i="1"/>
  <c r="Q239" i="1"/>
  <c r="P239" i="1"/>
  <c r="O239" i="1"/>
  <c r="L239" i="1"/>
  <c r="I239" i="1"/>
  <c r="H239" i="1"/>
  <c r="C239" i="1"/>
  <c r="AI238" i="1"/>
  <c r="AG238" i="1"/>
  <c r="AF238" i="1"/>
  <c r="AE238" i="1"/>
  <c r="T238" i="1"/>
  <c r="Q238" i="1"/>
  <c r="O238" i="1"/>
  <c r="P238" i="1" s="1"/>
  <c r="W238" i="1" s="1"/>
  <c r="R238" i="1" s="1"/>
  <c r="L238" i="1"/>
  <c r="I238" i="1"/>
  <c r="H238" i="1"/>
  <c r="C238" i="1"/>
  <c r="AI237" i="1"/>
  <c r="AG237" i="1"/>
  <c r="AF237" i="1"/>
  <c r="AE237" i="1"/>
  <c r="Q237" i="1"/>
  <c r="O237" i="1"/>
  <c r="P237" i="1" s="1"/>
  <c r="L237" i="1"/>
  <c r="I237" i="1"/>
  <c r="H237" i="1"/>
  <c r="C237" i="1"/>
  <c r="AI236" i="1"/>
  <c r="AG236" i="1"/>
  <c r="AF236" i="1"/>
  <c r="AE236" i="1"/>
  <c r="Q236" i="1"/>
  <c r="O236" i="1"/>
  <c r="P236" i="1" s="1"/>
  <c r="L236" i="1"/>
  <c r="I236" i="1"/>
  <c r="H236" i="1"/>
  <c r="C236" i="1"/>
  <c r="AI235" i="1"/>
  <c r="AG235" i="1"/>
  <c r="AF235" i="1"/>
  <c r="AE235" i="1"/>
  <c r="Q235" i="1"/>
  <c r="O235" i="1"/>
  <c r="P235" i="1" s="1"/>
  <c r="L235" i="1"/>
  <c r="I235" i="1"/>
  <c r="H235" i="1"/>
  <c r="C235" i="1"/>
  <c r="AI234" i="1"/>
  <c r="AG234" i="1"/>
  <c r="AF234" i="1"/>
  <c r="AE234" i="1"/>
  <c r="Q234" i="1"/>
  <c r="O234" i="1"/>
  <c r="P234" i="1" s="1"/>
  <c r="L234" i="1"/>
  <c r="I234" i="1"/>
  <c r="H234" i="1"/>
  <c r="C234" i="1"/>
  <c r="AI233" i="1"/>
  <c r="AG233" i="1"/>
  <c r="AF233" i="1"/>
  <c r="AE233" i="1"/>
  <c r="Q233" i="1"/>
  <c r="O233" i="1"/>
  <c r="P233" i="1" s="1"/>
  <c r="L233" i="1"/>
  <c r="I233" i="1"/>
  <c r="H233" i="1"/>
  <c r="C233" i="1"/>
  <c r="AI232" i="1"/>
  <c r="AG232" i="1"/>
  <c r="AF232" i="1"/>
  <c r="AE232" i="1"/>
  <c r="W232" i="1"/>
  <c r="R232" i="1" s="1"/>
  <c r="T232" i="1" s="1"/>
  <c r="V232" i="1" s="1"/>
  <c r="Q232" i="1"/>
  <c r="P232" i="1"/>
  <c r="O232" i="1"/>
  <c r="L232" i="1"/>
  <c r="I232" i="1"/>
  <c r="H232" i="1"/>
  <c r="C232" i="1"/>
  <c r="AI231" i="1"/>
  <c r="AG231" i="1"/>
  <c r="AF231" i="1"/>
  <c r="AE231" i="1"/>
  <c r="Q231" i="1"/>
  <c r="P231" i="1"/>
  <c r="O231" i="1"/>
  <c r="L231" i="1"/>
  <c r="I231" i="1"/>
  <c r="H231" i="1"/>
  <c r="C231" i="1"/>
  <c r="AI230" i="1"/>
  <c r="AG230" i="1"/>
  <c r="AF230" i="1"/>
  <c r="AE230" i="1"/>
  <c r="Q230" i="1"/>
  <c r="O230" i="1"/>
  <c r="P230" i="1" s="1"/>
  <c r="L230" i="1"/>
  <c r="I230" i="1"/>
  <c r="H230" i="1"/>
  <c r="C230" i="1"/>
  <c r="AI229" i="1"/>
  <c r="AG229" i="1"/>
  <c r="AF229" i="1"/>
  <c r="AE229" i="1"/>
  <c r="Q229" i="1"/>
  <c r="P229" i="1"/>
  <c r="W229" i="1" s="1"/>
  <c r="R229" i="1" s="1"/>
  <c r="T229" i="1" s="1"/>
  <c r="O229" i="1"/>
  <c r="L229" i="1"/>
  <c r="I229" i="1"/>
  <c r="H229" i="1"/>
  <c r="C229" i="1"/>
  <c r="AI228" i="1"/>
  <c r="AG228" i="1"/>
  <c r="AF228" i="1"/>
  <c r="AE228" i="1"/>
  <c r="Q228" i="1"/>
  <c r="O228" i="1"/>
  <c r="P228" i="1" s="1"/>
  <c r="L228" i="1"/>
  <c r="I228" i="1"/>
  <c r="H228" i="1"/>
  <c r="C228" i="1"/>
  <c r="AI227" i="1"/>
  <c r="AG227" i="1"/>
  <c r="AF227" i="1"/>
  <c r="AE227" i="1"/>
  <c r="Q227" i="1"/>
  <c r="O227" i="1"/>
  <c r="P227" i="1" s="1"/>
  <c r="W227" i="1" s="1"/>
  <c r="R227" i="1" s="1"/>
  <c r="T227" i="1" s="1"/>
  <c r="L227" i="1"/>
  <c r="I227" i="1"/>
  <c r="H227" i="1"/>
  <c r="C227" i="1"/>
  <c r="AI226" i="1"/>
  <c r="AG226" i="1"/>
  <c r="AF226" i="1"/>
  <c r="AE226" i="1"/>
  <c r="Q226" i="1"/>
  <c r="O226" i="1"/>
  <c r="P226" i="1" s="1"/>
  <c r="L226" i="1"/>
  <c r="I226" i="1"/>
  <c r="H226" i="1"/>
  <c r="C226" i="1"/>
  <c r="AI225" i="1"/>
  <c r="AG225" i="1"/>
  <c r="AF225" i="1"/>
  <c r="AE225" i="1"/>
  <c r="Q225" i="1"/>
  <c r="O225" i="1"/>
  <c r="P225" i="1" s="1"/>
  <c r="L225" i="1"/>
  <c r="I225" i="1"/>
  <c r="H225" i="1"/>
  <c r="C225" i="1"/>
  <c r="AI224" i="1"/>
  <c r="AG224" i="1"/>
  <c r="AF224" i="1"/>
  <c r="AE224" i="1"/>
  <c r="Q224" i="1"/>
  <c r="O224" i="1"/>
  <c r="P224" i="1" s="1"/>
  <c r="L224" i="1"/>
  <c r="I224" i="1"/>
  <c r="H224" i="1"/>
  <c r="C224" i="1"/>
  <c r="AI223" i="1"/>
  <c r="AG223" i="1"/>
  <c r="AF223" i="1"/>
  <c r="AE223" i="1"/>
  <c r="Q223" i="1"/>
  <c r="P223" i="1"/>
  <c r="O223" i="1"/>
  <c r="L223" i="1"/>
  <c r="I223" i="1"/>
  <c r="H223" i="1"/>
  <c r="C223" i="1"/>
  <c r="AI222" i="1"/>
  <c r="AG222" i="1"/>
  <c r="AF222" i="1"/>
  <c r="AE222" i="1"/>
  <c r="T222" i="1"/>
  <c r="Q222" i="1"/>
  <c r="O222" i="1"/>
  <c r="P222" i="1" s="1"/>
  <c r="W222" i="1" s="1"/>
  <c r="R222" i="1" s="1"/>
  <c r="L222" i="1"/>
  <c r="I222" i="1"/>
  <c r="H222" i="1"/>
  <c r="C222" i="1"/>
  <c r="AI221" i="1"/>
  <c r="AG221" i="1"/>
  <c r="AF221" i="1"/>
  <c r="AE221" i="1"/>
  <c r="Q221" i="1"/>
  <c r="O221" i="1"/>
  <c r="P221" i="1" s="1"/>
  <c r="L221" i="1"/>
  <c r="I221" i="1"/>
  <c r="H221" i="1"/>
  <c r="C221" i="1"/>
  <c r="AI220" i="1"/>
  <c r="AG220" i="1"/>
  <c r="AF220" i="1"/>
  <c r="AE220" i="1"/>
  <c r="Q220" i="1"/>
  <c r="O220" i="1"/>
  <c r="P220" i="1" s="1"/>
  <c r="L220" i="1"/>
  <c r="I220" i="1"/>
  <c r="H220" i="1"/>
  <c r="C220" i="1"/>
  <c r="AI219" i="1"/>
  <c r="AG219" i="1"/>
  <c r="AF219" i="1"/>
  <c r="AE219" i="1"/>
  <c r="Q219" i="1"/>
  <c r="O219" i="1"/>
  <c r="P219" i="1" s="1"/>
  <c r="W219" i="1" s="1"/>
  <c r="R219" i="1" s="1"/>
  <c r="T219" i="1" s="1"/>
  <c r="L219" i="1"/>
  <c r="I219" i="1"/>
  <c r="H219" i="1"/>
  <c r="C219" i="1"/>
  <c r="AI218" i="1"/>
  <c r="AG218" i="1"/>
  <c r="AF218" i="1"/>
  <c r="AE218" i="1"/>
  <c r="Q218" i="1"/>
  <c r="P218" i="1"/>
  <c r="O218" i="1"/>
  <c r="L218" i="1"/>
  <c r="I218" i="1"/>
  <c r="H218" i="1"/>
  <c r="C218" i="1"/>
  <c r="AI217" i="1"/>
  <c r="AG217" i="1"/>
  <c r="AF217" i="1"/>
  <c r="AE217" i="1"/>
  <c r="W217" i="1"/>
  <c r="V217" i="1"/>
  <c r="T217" i="1"/>
  <c r="J217" i="1" s="1"/>
  <c r="R217" i="1"/>
  <c r="Q217" i="1"/>
  <c r="O217" i="1"/>
  <c r="P217" i="1" s="1"/>
  <c r="L217" i="1"/>
  <c r="I217" i="1"/>
  <c r="H217" i="1"/>
  <c r="C217" i="1"/>
  <c r="AI216" i="1"/>
  <c r="AG216" i="1"/>
  <c r="AF216" i="1"/>
  <c r="AE216" i="1"/>
  <c r="Q216" i="1"/>
  <c r="O216" i="1"/>
  <c r="P216" i="1" s="1"/>
  <c r="W216" i="1" s="1"/>
  <c r="R216" i="1" s="1"/>
  <c r="T216" i="1" s="1"/>
  <c r="L216" i="1"/>
  <c r="I216" i="1"/>
  <c r="H216" i="1"/>
  <c r="C216" i="1"/>
  <c r="AI215" i="1"/>
  <c r="AG215" i="1"/>
  <c r="AF215" i="1"/>
  <c r="AE215" i="1"/>
  <c r="Q215" i="1"/>
  <c r="P215" i="1"/>
  <c r="O215" i="1"/>
  <c r="L215" i="1"/>
  <c r="I215" i="1"/>
  <c r="H215" i="1"/>
  <c r="C215" i="1"/>
  <c r="AI214" i="1"/>
  <c r="AG214" i="1"/>
  <c r="AF214" i="1"/>
  <c r="AE214" i="1"/>
  <c r="W214" i="1"/>
  <c r="R214" i="1" s="1"/>
  <c r="T214" i="1"/>
  <c r="V214" i="1" s="1"/>
  <c r="Q214" i="1"/>
  <c r="O214" i="1"/>
  <c r="P214" i="1" s="1"/>
  <c r="L214" i="1"/>
  <c r="J214" i="1"/>
  <c r="I214" i="1"/>
  <c r="H214" i="1"/>
  <c r="C214" i="1"/>
  <c r="AI213" i="1"/>
  <c r="AG213" i="1"/>
  <c r="AF213" i="1"/>
  <c r="AE213" i="1"/>
  <c r="Q213" i="1"/>
  <c r="O213" i="1"/>
  <c r="P213" i="1" s="1"/>
  <c r="L213" i="1"/>
  <c r="I213" i="1"/>
  <c r="H213" i="1"/>
  <c r="C213" i="1"/>
  <c r="AI212" i="1"/>
  <c r="AG212" i="1"/>
  <c r="AF212" i="1"/>
  <c r="AE212" i="1"/>
  <c r="Q212" i="1"/>
  <c r="O212" i="1"/>
  <c r="P212" i="1" s="1"/>
  <c r="L212" i="1"/>
  <c r="I212" i="1"/>
  <c r="H212" i="1"/>
  <c r="C212" i="1"/>
  <c r="AI211" i="1"/>
  <c r="AG211" i="1"/>
  <c r="AF211" i="1"/>
  <c r="AE211" i="1"/>
  <c r="Q211" i="1"/>
  <c r="O211" i="1"/>
  <c r="P211" i="1" s="1"/>
  <c r="W211" i="1" s="1"/>
  <c r="R211" i="1" s="1"/>
  <c r="T211" i="1" s="1"/>
  <c r="L211" i="1"/>
  <c r="I211" i="1"/>
  <c r="H211" i="1"/>
  <c r="C211" i="1"/>
  <c r="AI210" i="1"/>
  <c r="AG210" i="1"/>
  <c r="AF210" i="1"/>
  <c r="AE210" i="1"/>
  <c r="Q210" i="1"/>
  <c r="O210" i="1"/>
  <c r="P210" i="1" s="1"/>
  <c r="L210" i="1"/>
  <c r="I210" i="1"/>
  <c r="H210" i="1"/>
  <c r="C210" i="1"/>
  <c r="AI209" i="1"/>
  <c r="AG209" i="1"/>
  <c r="AF209" i="1"/>
  <c r="AE209" i="1"/>
  <c r="Q209" i="1"/>
  <c r="O209" i="1"/>
  <c r="P209" i="1" s="1"/>
  <c r="L209" i="1"/>
  <c r="I209" i="1"/>
  <c r="H209" i="1"/>
  <c r="C209" i="1"/>
  <c r="AI208" i="1"/>
  <c r="AG208" i="1"/>
  <c r="AF208" i="1"/>
  <c r="AE208" i="1"/>
  <c r="Q208" i="1"/>
  <c r="P208" i="1"/>
  <c r="O208" i="1"/>
  <c r="L208" i="1"/>
  <c r="I208" i="1"/>
  <c r="H208" i="1"/>
  <c r="C208" i="1"/>
  <c r="AI207" i="1"/>
  <c r="AG207" i="1"/>
  <c r="AF207" i="1"/>
  <c r="AE207" i="1"/>
  <c r="Q207" i="1"/>
  <c r="P207" i="1"/>
  <c r="O207" i="1"/>
  <c r="L207" i="1"/>
  <c r="I207" i="1"/>
  <c r="H207" i="1"/>
  <c r="C207" i="1"/>
  <c r="AI206" i="1"/>
  <c r="AG206" i="1"/>
  <c r="AF206" i="1"/>
  <c r="AE206" i="1"/>
  <c r="Q206" i="1"/>
  <c r="O206" i="1"/>
  <c r="P206" i="1" s="1"/>
  <c r="L206" i="1"/>
  <c r="I206" i="1"/>
  <c r="H206" i="1"/>
  <c r="C206" i="1"/>
  <c r="AI205" i="1"/>
  <c r="AG205" i="1"/>
  <c r="AF205" i="1"/>
  <c r="AE205" i="1"/>
  <c r="Q205" i="1"/>
  <c r="O205" i="1"/>
  <c r="P205" i="1" s="1"/>
  <c r="W205" i="1" s="1"/>
  <c r="R205" i="1" s="1"/>
  <c r="T205" i="1" s="1"/>
  <c r="V205" i="1" s="1"/>
  <c r="X205" i="1" s="1"/>
  <c r="L205" i="1"/>
  <c r="I205" i="1"/>
  <c r="H205" i="1"/>
  <c r="C205" i="1"/>
  <c r="AI204" i="1"/>
  <c r="AG204" i="1"/>
  <c r="AF204" i="1"/>
  <c r="AE204" i="1"/>
  <c r="Q204" i="1"/>
  <c r="P204" i="1"/>
  <c r="O204" i="1"/>
  <c r="L204" i="1"/>
  <c r="I204" i="1"/>
  <c r="H204" i="1"/>
  <c r="C204" i="1"/>
  <c r="AI203" i="1"/>
  <c r="AG203" i="1"/>
  <c r="AF203" i="1"/>
  <c r="AE203" i="1"/>
  <c r="W203" i="1"/>
  <c r="R203" i="1" s="1"/>
  <c r="T203" i="1" s="1"/>
  <c r="J203" i="1" s="1"/>
  <c r="V203" i="1"/>
  <c r="Q203" i="1"/>
  <c r="P203" i="1"/>
  <c r="O203" i="1"/>
  <c r="L203" i="1"/>
  <c r="I203" i="1"/>
  <c r="H203" i="1"/>
  <c r="C203" i="1"/>
  <c r="AI202" i="1"/>
  <c r="AG202" i="1"/>
  <c r="AF202" i="1"/>
  <c r="AE202" i="1"/>
  <c r="Q202" i="1"/>
  <c r="O202" i="1"/>
  <c r="P202" i="1" s="1"/>
  <c r="L202" i="1"/>
  <c r="I202" i="1"/>
  <c r="H202" i="1"/>
  <c r="C202" i="1"/>
  <c r="AI201" i="1"/>
  <c r="AG201" i="1"/>
  <c r="AF201" i="1"/>
  <c r="AE201" i="1"/>
  <c r="R201" i="1"/>
  <c r="T201" i="1" s="1"/>
  <c r="Q201" i="1"/>
  <c r="O201" i="1"/>
  <c r="P201" i="1" s="1"/>
  <c r="W201" i="1" s="1"/>
  <c r="L201" i="1"/>
  <c r="I201" i="1"/>
  <c r="H201" i="1"/>
  <c r="C201" i="1"/>
  <c r="AI200" i="1"/>
  <c r="AG200" i="1"/>
  <c r="AF200" i="1"/>
  <c r="AE200" i="1"/>
  <c r="W200" i="1"/>
  <c r="R200" i="1" s="1"/>
  <c r="T200" i="1" s="1"/>
  <c r="Q200" i="1"/>
  <c r="O200" i="1"/>
  <c r="P200" i="1" s="1"/>
  <c r="L200" i="1"/>
  <c r="I200" i="1"/>
  <c r="H200" i="1"/>
  <c r="C200" i="1"/>
  <c r="AI199" i="1"/>
  <c r="AG199" i="1"/>
  <c r="AF199" i="1"/>
  <c r="AE199" i="1"/>
  <c r="Q199" i="1"/>
  <c r="P199" i="1"/>
  <c r="O199" i="1"/>
  <c r="L199" i="1"/>
  <c r="I199" i="1"/>
  <c r="H199" i="1"/>
  <c r="C199" i="1"/>
  <c r="AI198" i="1"/>
  <c r="AG198" i="1"/>
  <c r="AF198" i="1"/>
  <c r="AE198" i="1"/>
  <c r="Q198" i="1"/>
  <c r="O198" i="1"/>
  <c r="P198" i="1" s="1"/>
  <c r="L198" i="1"/>
  <c r="I198" i="1"/>
  <c r="H198" i="1"/>
  <c r="C198" i="1"/>
  <c r="AI197" i="1"/>
  <c r="AG197" i="1"/>
  <c r="AF197" i="1"/>
  <c r="AE197" i="1"/>
  <c r="W197" i="1"/>
  <c r="R197" i="1"/>
  <c r="T197" i="1" s="1"/>
  <c r="Q197" i="1"/>
  <c r="O197" i="1"/>
  <c r="P197" i="1" s="1"/>
  <c r="L197" i="1"/>
  <c r="I197" i="1"/>
  <c r="H197" i="1"/>
  <c r="C197" i="1"/>
  <c r="AI196" i="1"/>
  <c r="AG196" i="1"/>
  <c r="AF196" i="1"/>
  <c r="AE196" i="1"/>
  <c r="W196" i="1"/>
  <c r="R196" i="1"/>
  <c r="T196" i="1" s="1"/>
  <c r="Q196" i="1"/>
  <c r="P196" i="1"/>
  <c r="O196" i="1"/>
  <c r="L196" i="1"/>
  <c r="I196" i="1"/>
  <c r="H196" i="1"/>
  <c r="C196" i="1"/>
  <c r="AI195" i="1"/>
  <c r="AG195" i="1"/>
  <c r="AF195" i="1"/>
  <c r="AE195" i="1"/>
  <c r="Q195" i="1"/>
  <c r="P195" i="1"/>
  <c r="O195" i="1"/>
  <c r="L195" i="1"/>
  <c r="I195" i="1"/>
  <c r="H195" i="1"/>
  <c r="C195" i="1"/>
  <c r="AI194" i="1"/>
  <c r="AG194" i="1"/>
  <c r="AF194" i="1"/>
  <c r="AE194" i="1"/>
  <c r="Q194" i="1"/>
  <c r="O194" i="1"/>
  <c r="P194" i="1" s="1"/>
  <c r="L194" i="1"/>
  <c r="I194" i="1"/>
  <c r="H194" i="1"/>
  <c r="C194" i="1"/>
  <c r="AI193" i="1"/>
  <c r="AG193" i="1"/>
  <c r="AF193" i="1"/>
  <c r="AE193" i="1"/>
  <c r="Q193" i="1"/>
  <c r="P193" i="1"/>
  <c r="W193" i="1" s="1"/>
  <c r="R193" i="1" s="1"/>
  <c r="T193" i="1" s="1"/>
  <c r="O193" i="1"/>
  <c r="L193" i="1"/>
  <c r="I193" i="1"/>
  <c r="H193" i="1"/>
  <c r="C193" i="1"/>
  <c r="AI192" i="1"/>
  <c r="AG192" i="1"/>
  <c r="AF192" i="1"/>
  <c r="AE192" i="1"/>
  <c r="Q192" i="1"/>
  <c r="O192" i="1"/>
  <c r="P192" i="1" s="1"/>
  <c r="L192" i="1"/>
  <c r="I192" i="1"/>
  <c r="H192" i="1"/>
  <c r="C192" i="1"/>
  <c r="AI191" i="1"/>
  <c r="AG191" i="1"/>
  <c r="AF191" i="1"/>
  <c r="AE191" i="1"/>
  <c r="Q191" i="1"/>
  <c r="P191" i="1"/>
  <c r="O191" i="1"/>
  <c r="L191" i="1"/>
  <c r="I191" i="1"/>
  <c r="H191" i="1"/>
  <c r="C191" i="1"/>
  <c r="AI190" i="1"/>
  <c r="AG190" i="1"/>
  <c r="AF190" i="1"/>
  <c r="AE190" i="1"/>
  <c r="Q190" i="1"/>
  <c r="O190" i="1"/>
  <c r="P190" i="1" s="1"/>
  <c r="W190" i="1" s="1"/>
  <c r="R190" i="1" s="1"/>
  <c r="T190" i="1" s="1"/>
  <c r="L190" i="1"/>
  <c r="I190" i="1"/>
  <c r="H190" i="1"/>
  <c r="C190" i="1"/>
  <c r="AI189" i="1"/>
  <c r="AG189" i="1"/>
  <c r="AF189" i="1"/>
  <c r="AE189" i="1"/>
  <c r="Q189" i="1"/>
  <c r="O189" i="1"/>
  <c r="P189" i="1" s="1"/>
  <c r="L189" i="1"/>
  <c r="I189" i="1"/>
  <c r="H189" i="1"/>
  <c r="C189" i="1"/>
  <c r="AI188" i="1"/>
  <c r="AG188" i="1"/>
  <c r="AF188" i="1"/>
  <c r="AE188" i="1"/>
  <c r="W188" i="1"/>
  <c r="R188" i="1" s="1"/>
  <c r="T188" i="1" s="1"/>
  <c r="V188" i="1" s="1"/>
  <c r="Q188" i="1"/>
  <c r="P188" i="1"/>
  <c r="O188" i="1"/>
  <c r="L188" i="1"/>
  <c r="J188" i="1"/>
  <c r="I188" i="1"/>
  <c r="H188" i="1"/>
  <c r="C188" i="1"/>
  <c r="AI187" i="1"/>
  <c r="AG187" i="1"/>
  <c r="AF187" i="1"/>
  <c r="AE187" i="1"/>
  <c r="Q187" i="1"/>
  <c r="P187" i="1"/>
  <c r="O187" i="1"/>
  <c r="L187" i="1"/>
  <c r="I187" i="1"/>
  <c r="H187" i="1"/>
  <c r="C187" i="1"/>
  <c r="AI186" i="1"/>
  <c r="AG186" i="1"/>
  <c r="AF186" i="1"/>
  <c r="AE186" i="1"/>
  <c r="Q186" i="1"/>
  <c r="O186" i="1"/>
  <c r="P186" i="1" s="1"/>
  <c r="L186" i="1"/>
  <c r="I186" i="1"/>
  <c r="H186" i="1"/>
  <c r="C186" i="1"/>
  <c r="AI185" i="1"/>
  <c r="AG185" i="1"/>
  <c r="AF185" i="1"/>
  <c r="AE185" i="1"/>
  <c r="Q185" i="1"/>
  <c r="O185" i="1"/>
  <c r="P185" i="1" s="1"/>
  <c r="L185" i="1"/>
  <c r="I185" i="1"/>
  <c r="H185" i="1"/>
  <c r="C185" i="1"/>
  <c r="AI184" i="1"/>
  <c r="AG184" i="1"/>
  <c r="AF184" i="1"/>
  <c r="AE184" i="1"/>
  <c r="R184" i="1"/>
  <c r="T184" i="1" s="1"/>
  <c r="Q184" i="1"/>
  <c r="P184" i="1"/>
  <c r="W184" i="1" s="1"/>
  <c r="O184" i="1"/>
  <c r="L184" i="1"/>
  <c r="I184" i="1"/>
  <c r="H184" i="1"/>
  <c r="C184" i="1"/>
  <c r="AI183" i="1"/>
  <c r="AG183" i="1"/>
  <c r="AF183" i="1"/>
  <c r="AE183" i="1"/>
  <c r="X183" i="1"/>
  <c r="W183" i="1"/>
  <c r="R183" i="1" s="1"/>
  <c r="T183" i="1" s="1"/>
  <c r="V183" i="1" s="1"/>
  <c r="Q183" i="1"/>
  <c r="P183" i="1"/>
  <c r="O183" i="1"/>
  <c r="L183" i="1"/>
  <c r="J183" i="1"/>
  <c r="I183" i="1"/>
  <c r="H183" i="1"/>
  <c r="C183" i="1"/>
  <c r="AI182" i="1"/>
  <c r="AG182" i="1"/>
  <c r="AF182" i="1"/>
  <c r="AE182" i="1"/>
  <c r="Q182" i="1"/>
  <c r="P182" i="1"/>
  <c r="O182" i="1"/>
  <c r="L182" i="1"/>
  <c r="I182" i="1"/>
  <c r="H182" i="1"/>
  <c r="C182" i="1"/>
  <c r="AI181" i="1"/>
  <c r="AG181" i="1"/>
  <c r="AF181" i="1"/>
  <c r="AE181" i="1"/>
  <c r="Q181" i="1"/>
  <c r="O181" i="1"/>
  <c r="P181" i="1" s="1"/>
  <c r="L181" i="1"/>
  <c r="I181" i="1"/>
  <c r="H181" i="1"/>
  <c r="C181" i="1"/>
  <c r="AI180" i="1"/>
  <c r="AG180" i="1"/>
  <c r="AF180" i="1"/>
  <c r="AE180" i="1"/>
  <c r="Q180" i="1"/>
  <c r="O180" i="1"/>
  <c r="P180" i="1" s="1"/>
  <c r="W180" i="1" s="1"/>
  <c r="R180" i="1" s="1"/>
  <c r="T180" i="1" s="1"/>
  <c r="L180" i="1"/>
  <c r="I180" i="1"/>
  <c r="H180" i="1"/>
  <c r="C180" i="1"/>
  <c r="AI179" i="1"/>
  <c r="AG179" i="1"/>
  <c r="AF179" i="1"/>
  <c r="AE179" i="1"/>
  <c r="W179" i="1"/>
  <c r="R179" i="1" s="1"/>
  <c r="T179" i="1" s="1"/>
  <c r="Q179" i="1"/>
  <c r="O179" i="1"/>
  <c r="P179" i="1" s="1"/>
  <c r="L179" i="1"/>
  <c r="I179" i="1"/>
  <c r="H179" i="1"/>
  <c r="C179" i="1"/>
  <c r="AI178" i="1"/>
  <c r="AG178" i="1"/>
  <c r="AF178" i="1"/>
  <c r="AE178" i="1"/>
  <c r="W178" i="1"/>
  <c r="R178" i="1" s="1"/>
  <c r="T178" i="1" s="1"/>
  <c r="J178" i="1" s="1"/>
  <c r="V178" i="1"/>
  <c r="Q178" i="1"/>
  <c r="P178" i="1"/>
  <c r="O178" i="1"/>
  <c r="L178" i="1"/>
  <c r="I178" i="1"/>
  <c r="H178" i="1"/>
  <c r="C178" i="1"/>
  <c r="AI177" i="1"/>
  <c r="AG177" i="1"/>
  <c r="AF177" i="1"/>
  <c r="AE177" i="1"/>
  <c r="Q177" i="1"/>
  <c r="O177" i="1"/>
  <c r="P177" i="1" s="1"/>
  <c r="L177" i="1"/>
  <c r="I177" i="1"/>
  <c r="H177" i="1"/>
  <c r="C177" i="1"/>
  <c r="AI176" i="1"/>
  <c r="AG176" i="1"/>
  <c r="AF176" i="1"/>
  <c r="AE176" i="1"/>
  <c r="Q176" i="1"/>
  <c r="P176" i="1"/>
  <c r="W176" i="1" s="1"/>
  <c r="R176" i="1" s="1"/>
  <c r="T176" i="1" s="1"/>
  <c r="O176" i="1"/>
  <c r="L176" i="1"/>
  <c r="I176" i="1"/>
  <c r="H176" i="1"/>
  <c r="C176" i="1"/>
  <c r="AI175" i="1"/>
  <c r="AG175" i="1"/>
  <c r="AF175" i="1"/>
  <c r="AE175" i="1"/>
  <c r="W175" i="1"/>
  <c r="R175" i="1" s="1"/>
  <c r="T175" i="1" s="1"/>
  <c r="V175" i="1" s="1"/>
  <c r="X175" i="1" s="1"/>
  <c r="Q175" i="1"/>
  <c r="P175" i="1"/>
  <c r="O175" i="1"/>
  <c r="L175" i="1"/>
  <c r="J175" i="1"/>
  <c r="I175" i="1"/>
  <c r="H175" i="1"/>
  <c r="C175" i="1"/>
  <c r="AI174" i="1"/>
  <c r="AG174" i="1"/>
  <c r="AF174" i="1"/>
  <c r="AE174" i="1"/>
  <c r="Q174" i="1"/>
  <c r="P174" i="1"/>
  <c r="O174" i="1"/>
  <c r="L174" i="1"/>
  <c r="I174" i="1"/>
  <c r="H174" i="1"/>
  <c r="C174" i="1"/>
  <c r="AI173" i="1"/>
  <c r="AG173" i="1"/>
  <c r="AF173" i="1"/>
  <c r="AE173" i="1"/>
  <c r="Q173" i="1"/>
  <c r="O173" i="1"/>
  <c r="P173" i="1" s="1"/>
  <c r="L173" i="1"/>
  <c r="I173" i="1"/>
  <c r="H173" i="1"/>
  <c r="C173" i="1"/>
  <c r="AI172" i="1"/>
  <c r="AG172" i="1"/>
  <c r="AF172" i="1"/>
  <c r="AE172" i="1"/>
  <c r="R172" i="1"/>
  <c r="T172" i="1" s="1"/>
  <c r="Q172" i="1"/>
  <c r="O172" i="1"/>
  <c r="P172" i="1" s="1"/>
  <c r="W172" i="1" s="1"/>
  <c r="L172" i="1"/>
  <c r="I172" i="1"/>
  <c r="H172" i="1"/>
  <c r="C172" i="1"/>
  <c r="AI171" i="1"/>
  <c r="AG171" i="1"/>
  <c r="AF171" i="1"/>
  <c r="AE171" i="1"/>
  <c r="Q171" i="1"/>
  <c r="O171" i="1"/>
  <c r="P171" i="1" s="1"/>
  <c r="L171" i="1"/>
  <c r="I171" i="1"/>
  <c r="H171" i="1"/>
  <c r="C171" i="1"/>
  <c r="AI170" i="1"/>
  <c r="AG170" i="1"/>
  <c r="AF170" i="1"/>
  <c r="AE170" i="1"/>
  <c r="Q170" i="1"/>
  <c r="O170" i="1"/>
  <c r="P170" i="1" s="1"/>
  <c r="L170" i="1"/>
  <c r="I170" i="1"/>
  <c r="H170" i="1"/>
  <c r="C170" i="1"/>
  <c r="AI169" i="1"/>
  <c r="AG169" i="1"/>
  <c r="AF169" i="1"/>
  <c r="AE169" i="1"/>
  <c r="Q169" i="1"/>
  <c r="O169" i="1"/>
  <c r="P169" i="1" s="1"/>
  <c r="L169" i="1"/>
  <c r="I169" i="1"/>
  <c r="H169" i="1"/>
  <c r="C169" i="1"/>
  <c r="AI168" i="1"/>
  <c r="AG168" i="1"/>
  <c r="AF168" i="1"/>
  <c r="AE168" i="1"/>
  <c r="X168" i="1"/>
  <c r="W168" i="1"/>
  <c r="R168" i="1" s="1"/>
  <c r="T168" i="1" s="1"/>
  <c r="V168" i="1" s="1"/>
  <c r="Q168" i="1"/>
  <c r="P168" i="1"/>
  <c r="O168" i="1"/>
  <c r="L168" i="1"/>
  <c r="I168" i="1"/>
  <c r="H168" i="1"/>
  <c r="C168" i="1"/>
  <c r="AI167" i="1"/>
  <c r="AG167" i="1"/>
  <c r="AF167" i="1"/>
  <c r="AE167" i="1"/>
  <c r="W167" i="1"/>
  <c r="R167" i="1"/>
  <c r="T167" i="1" s="1"/>
  <c r="Q167" i="1"/>
  <c r="P167" i="1"/>
  <c r="O167" i="1"/>
  <c r="L167" i="1"/>
  <c r="I167" i="1"/>
  <c r="H167" i="1"/>
  <c r="C167" i="1"/>
  <c r="AI166" i="1"/>
  <c r="AG166" i="1"/>
  <c r="AF166" i="1"/>
  <c r="AE166" i="1"/>
  <c r="Q166" i="1"/>
  <c r="P166" i="1"/>
  <c r="O166" i="1"/>
  <c r="L166" i="1"/>
  <c r="I166" i="1"/>
  <c r="H166" i="1"/>
  <c r="C166" i="1"/>
  <c r="AI165" i="1"/>
  <c r="AG165" i="1"/>
  <c r="AF165" i="1"/>
  <c r="AE165" i="1"/>
  <c r="Q165" i="1"/>
  <c r="O165" i="1"/>
  <c r="P165" i="1" s="1"/>
  <c r="L165" i="1"/>
  <c r="I165" i="1"/>
  <c r="H165" i="1"/>
  <c r="C165" i="1"/>
  <c r="AI164" i="1"/>
  <c r="AG164" i="1"/>
  <c r="AF164" i="1"/>
  <c r="AE164" i="1"/>
  <c r="Q164" i="1"/>
  <c r="O164" i="1"/>
  <c r="P164" i="1" s="1"/>
  <c r="L164" i="1"/>
  <c r="I164" i="1"/>
  <c r="H164" i="1"/>
  <c r="C164" i="1"/>
  <c r="AI163" i="1"/>
  <c r="AG163" i="1"/>
  <c r="AF163" i="1"/>
  <c r="AE163" i="1"/>
  <c r="Q163" i="1"/>
  <c r="P163" i="1"/>
  <c r="O163" i="1"/>
  <c r="L163" i="1"/>
  <c r="I163" i="1"/>
  <c r="H163" i="1"/>
  <c r="C163" i="1"/>
  <c r="AI162" i="1"/>
  <c r="AG162" i="1"/>
  <c r="AF162" i="1"/>
  <c r="AE162" i="1"/>
  <c r="Q162" i="1"/>
  <c r="P162" i="1"/>
  <c r="O162" i="1"/>
  <c r="L162" i="1"/>
  <c r="I162" i="1"/>
  <c r="H162" i="1"/>
  <c r="C162" i="1"/>
  <c r="AI161" i="1"/>
  <c r="AG161" i="1"/>
  <c r="AF161" i="1"/>
  <c r="AE161" i="1"/>
  <c r="Q161" i="1"/>
  <c r="O161" i="1"/>
  <c r="P161" i="1" s="1"/>
  <c r="W161" i="1" s="1"/>
  <c r="R161" i="1" s="1"/>
  <c r="T161" i="1" s="1"/>
  <c r="L161" i="1"/>
  <c r="I161" i="1"/>
  <c r="H161" i="1"/>
  <c r="C161" i="1"/>
  <c r="AI160" i="1"/>
  <c r="AG160" i="1"/>
  <c r="AF160" i="1"/>
  <c r="AE160" i="1"/>
  <c r="Q160" i="1"/>
  <c r="O160" i="1"/>
  <c r="P160" i="1" s="1"/>
  <c r="L160" i="1"/>
  <c r="I160" i="1"/>
  <c r="H160" i="1"/>
  <c r="C160" i="1"/>
  <c r="AI159" i="1"/>
  <c r="AG159" i="1"/>
  <c r="AF159" i="1"/>
  <c r="AE159" i="1"/>
  <c r="Q159" i="1"/>
  <c r="O159" i="1"/>
  <c r="P159" i="1" s="1"/>
  <c r="L159" i="1"/>
  <c r="I159" i="1"/>
  <c r="H159" i="1"/>
  <c r="C159" i="1"/>
  <c r="AI158" i="1"/>
  <c r="AG158" i="1"/>
  <c r="AF158" i="1"/>
  <c r="AE158" i="1"/>
  <c r="Q158" i="1"/>
  <c r="O158" i="1"/>
  <c r="P158" i="1" s="1"/>
  <c r="L158" i="1"/>
  <c r="I158" i="1"/>
  <c r="H158" i="1"/>
  <c r="C158" i="1"/>
  <c r="AI157" i="1"/>
  <c r="AG157" i="1"/>
  <c r="AF157" i="1"/>
  <c r="AE157" i="1"/>
  <c r="Q157" i="1"/>
  <c r="P157" i="1"/>
  <c r="O157" i="1"/>
  <c r="L157" i="1"/>
  <c r="I157" i="1"/>
  <c r="H157" i="1"/>
  <c r="C157" i="1"/>
  <c r="AI156" i="1"/>
  <c r="AG156" i="1"/>
  <c r="AF156" i="1"/>
  <c r="AE156" i="1"/>
  <c r="Q156" i="1"/>
  <c r="O156" i="1"/>
  <c r="P156" i="1" s="1"/>
  <c r="L156" i="1"/>
  <c r="I156" i="1"/>
  <c r="H156" i="1"/>
  <c r="C156" i="1"/>
  <c r="AI155" i="1"/>
  <c r="AG155" i="1"/>
  <c r="AF155" i="1"/>
  <c r="AE155" i="1"/>
  <c r="Q155" i="1"/>
  <c r="P155" i="1"/>
  <c r="O155" i="1"/>
  <c r="L155" i="1"/>
  <c r="I155" i="1"/>
  <c r="H155" i="1"/>
  <c r="C155" i="1"/>
  <c r="AI154" i="1"/>
  <c r="AG154" i="1"/>
  <c r="AF154" i="1"/>
  <c r="AE154" i="1"/>
  <c r="Q154" i="1"/>
  <c r="P154" i="1"/>
  <c r="O154" i="1"/>
  <c r="L154" i="1"/>
  <c r="I154" i="1"/>
  <c r="H154" i="1"/>
  <c r="C154" i="1"/>
  <c r="AI153" i="1"/>
  <c r="AG153" i="1"/>
  <c r="AF153" i="1"/>
  <c r="AE153" i="1"/>
  <c r="Q153" i="1"/>
  <c r="O153" i="1"/>
  <c r="P153" i="1" s="1"/>
  <c r="L153" i="1"/>
  <c r="I153" i="1"/>
  <c r="H153" i="1"/>
  <c r="C153" i="1"/>
  <c r="AI152" i="1"/>
  <c r="AG152" i="1"/>
  <c r="AF152" i="1"/>
  <c r="AE152" i="1"/>
  <c r="Q152" i="1"/>
  <c r="O152" i="1"/>
  <c r="P152" i="1" s="1"/>
  <c r="L152" i="1"/>
  <c r="I152" i="1"/>
  <c r="H152" i="1"/>
  <c r="C152" i="1"/>
  <c r="AI151" i="1"/>
  <c r="AG151" i="1"/>
  <c r="AF151" i="1"/>
  <c r="AE151" i="1"/>
  <c r="Q151" i="1"/>
  <c r="O151" i="1"/>
  <c r="P151" i="1" s="1"/>
  <c r="L151" i="1"/>
  <c r="I151" i="1"/>
  <c r="H151" i="1"/>
  <c r="C151" i="1"/>
  <c r="AI150" i="1"/>
  <c r="AG150" i="1"/>
  <c r="AF150" i="1"/>
  <c r="AE150" i="1"/>
  <c r="Q150" i="1"/>
  <c r="O150" i="1"/>
  <c r="P150" i="1" s="1"/>
  <c r="L150" i="1"/>
  <c r="I150" i="1"/>
  <c r="H150" i="1"/>
  <c r="C150" i="1"/>
  <c r="AI149" i="1"/>
  <c r="AG149" i="1"/>
  <c r="AF149" i="1"/>
  <c r="AE149" i="1"/>
  <c r="Q149" i="1"/>
  <c r="P149" i="1"/>
  <c r="O149" i="1"/>
  <c r="L149" i="1"/>
  <c r="I149" i="1"/>
  <c r="H149" i="1"/>
  <c r="C149" i="1"/>
  <c r="AI148" i="1"/>
  <c r="AG148" i="1"/>
  <c r="AF148" i="1"/>
  <c r="AE148" i="1"/>
  <c r="Q148" i="1"/>
  <c r="O148" i="1"/>
  <c r="P148" i="1" s="1"/>
  <c r="L148" i="1"/>
  <c r="I148" i="1"/>
  <c r="H148" i="1"/>
  <c r="C148" i="1"/>
  <c r="AI147" i="1"/>
  <c r="AG147" i="1"/>
  <c r="AF147" i="1"/>
  <c r="AE147" i="1"/>
  <c r="Q147" i="1"/>
  <c r="P147" i="1"/>
  <c r="O147" i="1"/>
  <c r="L147" i="1"/>
  <c r="I147" i="1"/>
  <c r="H147" i="1"/>
  <c r="C147" i="1"/>
  <c r="AI146" i="1"/>
  <c r="AG146" i="1"/>
  <c r="AF146" i="1"/>
  <c r="AE146" i="1"/>
  <c r="Q146" i="1"/>
  <c r="P146" i="1"/>
  <c r="O146" i="1"/>
  <c r="L146" i="1"/>
  <c r="I146" i="1"/>
  <c r="H146" i="1"/>
  <c r="C146" i="1"/>
  <c r="AI145" i="1"/>
  <c r="AG145" i="1"/>
  <c r="AF145" i="1"/>
  <c r="AE145" i="1"/>
  <c r="Q145" i="1"/>
  <c r="O145" i="1"/>
  <c r="P145" i="1" s="1"/>
  <c r="L145" i="1"/>
  <c r="I145" i="1"/>
  <c r="H145" i="1"/>
  <c r="C145" i="1"/>
  <c r="AI144" i="1"/>
  <c r="AG144" i="1"/>
  <c r="AF144" i="1"/>
  <c r="AE144" i="1"/>
  <c r="R144" i="1"/>
  <c r="T144" i="1" s="1"/>
  <c r="Q144" i="1"/>
  <c r="O144" i="1"/>
  <c r="P144" i="1" s="1"/>
  <c r="W144" i="1" s="1"/>
  <c r="L144" i="1"/>
  <c r="I144" i="1"/>
  <c r="H144" i="1"/>
  <c r="C144" i="1"/>
  <c r="AI143" i="1"/>
  <c r="AG143" i="1"/>
  <c r="AF143" i="1"/>
  <c r="AE143" i="1"/>
  <c r="W143" i="1"/>
  <c r="R143" i="1" s="1"/>
  <c r="T143" i="1" s="1"/>
  <c r="Q143" i="1"/>
  <c r="O143" i="1"/>
  <c r="P143" i="1" s="1"/>
  <c r="L143" i="1"/>
  <c r="I143" i="1"/>
  <c r="H143" i="1"/>
  <c r="C143" i="1"/>
  <c r="AN142" i="1"/>
  <c r="AI142" i="1"/>
  <c r="AG142" i="1"/>
  <c r="AF142" i="1"/>
  <c r="AE142" i="1"/>
  <c r="W142" i="1"/>
  <c r="R142" i="1" s="1"/>
  <c r="T142" i="1" s="1"/>
  <c r="V142" i="1" s="1"/>
  <c r="X142" i="1" s="1"/>
  <c r="Q142" i="1"/>
  <c r="P142" i="1"/>
  <c r="O142" i="1"/>
  <c r="L142" i="1"/>
  <c r="I142" i="1"/>
  <c r="H142" i="1"/>
  <c r="C142" i="1"/>
  <c r="AI141" i="1"/>
  <c r="AG141" i="1"/>
  <c r="AF141" i="1"/>
  <c r="AE141" i="1"/>
  <c r="Q141" i="1"/>
  <c r="P141" i="1"/>
  <c r="W141" i="1" s="1"/>
  <c r="R141" i="1" s="1"/>
  <c r="T141" i="1" s="1"/>
  <c r="J141" i="1" s="1"/>
  <c r="O141" i="1"/>
  <c r="L141" i="1"/>
  <c r="I141" i="1"/>
  <c r="H141" i="1"/>
  <c r="C141" i="1"/>
  <c r="AI140" i="1"/>
  <c r="AG140" i="1"/>
  <c r="AF140" i="1"/>
  <c r="AE140" i="1"/>
  <c r="Q140" i="1"/>
  <c r="O140" i="1"/>
  <c r="P140" i="1" s="1"/>
  <c r="L140" i="1"/>
  <c r="I140" i="1"/>
  <c r="H140" i="1"/>
  <c r="C140" i="1"/>
  <c r="AI139" i="1"/>
  <c r="AG139" i="1"/>
  <c r="AF139" i="1"/>
  <c r="AE139" i="1"/>
  <c r="Q139" i="1"/>
  <c r="O139" i="1"/>
  <c r="P139" i="1" s="1"/>
  <c r="W139" i="1" s="1"/>
  <c r="R139" i="1" s="1"/>
  <c r="T139" i="1" s="1"/>
  <c r="L139" i="1"/>
  <c r="I139" i="1"/>
  <c r="H139" i="1"/>
  <c r="C139" i="1"/>
  <c r="AI138" i="1"/>
  <c r="AG138" i="1"/>
  <c r="AF138" i="1"/>
  <c r="AE138" i="1"/>
  <c r="Q138" i="1"/>
  <c r="O138" i="1"/>
  <c r="P138" i="1" s="1"/>
  <c r="L138" i="1"/>
  <c r="I138" i="1"/>
  <c r="H138" i="1"/>
  <c r="C138" i="1"/>
  <c r="AI137" i="1"/>
  <c r="AG137" i="1"/>
  <c r="AF137" i="1"/>
  <c r="AE137" i="1"/>
  <c r="Q137" i="1"/>
  <c r="O137" i="1"/>
  <c r="P137" i="1" s="1"/>
  <c r="L137" i="1"/>
  <c r="I137" i="1"/>
  <c r="H137" i="1"/>
  <c r="C137" i="1"/>
  <c r="AI136" i="1"/>
  <c r="AG136" i="1"/>
  <c r="AF136" i="1"/>
  <c r="AE136" i="1"/>
  <c r="Q136" i="1"/>
  <c r="O136" i="1"/>
  <c r="P136" i="1" s="1"/>
  <c r="L136" i="1"/>
  <c r="I136" i="1"/>
  <c r="H136" i="1"/>
  <c r="C136" i="1"/>
  <c r="AI135" i="1"/>
  <c r="AG135" i="1"/>
  <c r="AF135" i="1"/>
  <c r="AE135" i="1"/>
  <c r="Q135" i="1"/>
  <c r="P135" i="1"/>
  <c r="O135" i="1"/>
  <c r="L135" i="1"/>
  <c r="I135" i="1"/>
  <c r="H135" i="1"/>
  <c r="C135" i="1"/>
  <c r="AI134" i="1"/>
  <c r="AG134" i="1"/>
  <c r="AF134" i="1"/>
  <c r="AE134" i="1"/>
  <c r="Q134" i="1"/>
  <c r="O134" i="1"/>
  <c r="P134" i="1" s="1"/>
  <c r="L134" i="1"/>
  <c r="I134" i="1"/>
  <c r="H134" i="1"/>
  <c r="C134" i="1"/>
  <c r="AI133" i="1"/>
  <c r="AG133" i="1"/>
  <c r="AF133" i="1"/>
  <c r="AE133" i="1"/>
  <c r="Q133" i="1"/>
  <c r="O133" i="1"/>
  <c r="P133" i="1" s="1"/>
  <c r="W133" i="1" s="1"/>
  <c r="R133" i="1" s="1"/>
  <c r="T133" i="1" s="1"/>
  <c r="L133" i="1"/>
  <c r="I133" i="1"/>
  <c r="H133" i="1"/>
  <c r="C133" i="1"/>
  <c r="AI132" i="1"/>
  <c r="AG132" i="1"/>
  <c r="AF132" i="1"/>
  <c r="AE132" i="1"/>
  <c r="Q132" i="1"/>
  <c r="O132" i="1"/>
  <c r="P132" i="1" s="1"/>
  <c r="L132" i="1"/>
  <c r="I132" i="1"/>
  <c r="H132" i="1"/>
  <c r="C132" i="1"/>
  <c r="AI131" i="1"/>
  <c r="AG131" i="1"/>
  <c r="AF131" i="1"/>
  <c r="AE131" i="1"/>
  <c r="W131" i="1"/>
  <c r="R131" i="1" s="1"/>
  <c r="T131" i="1" s="1"/>
  <c r="J131" i="1" s="1"/>
  <c r="V131" i="1"/>
  <c r="Q131" i="1"/>
  <c r="P131" i="1"/>
  <c r="X131" i="1" s="1"/>
  <c r="O131" i="1"/>
  <c r="L131" i="1"/>
  <c r="I131" i="1"/>
  <c r="H131" i="1"/>
  <c r="C131" i="1"/>
  <c r="AI130" i="1"/>
  <c r="AG130" i="1"/>
  <c r="AF130" i="1"/>
  <c r="AE130" i="1"/>
  <c r="Q130" i="1"/>
  <c r="O130" i="1"/>
  <c r="P130" i="1" s="1"/>
  <c r="L130" i="1"/>
  <c r="I130" i="1"/>
  <c r="H130" i="1"/>
  <c r="C130" i="1"/>
  <c r="AI129" i="1"/>
  <c r="AG129" i="1"/>
  <c r="AF129" i="1"/>
  <c r="AE129" i="1"/>
  <c r="Q129" i="1"/>
  <c r="O129" i="1"/>
  <c r="P129" i="1" s="1"/>
  <c r="L129" i="1"/>
  <c r="I129" i="1"/>
  <c r="H129" i="1"/>
  <c r="C129" i="1"/>
  <c r="AI128" i="1"/>
  <c r="AG128" i="1"/>
  <c r="AF128" i="1"/>
  <c r="AE128" i="1"/>
  <c r="W128" i="1"/>
  <c r="R128" i="1" s="1"/>
  <c r="T128" i="1" s="1"/>
  <c r="V128" i="1" s="1"/>
  <c r="Q128" i="1"/>
  <c r="O128" i="1"/>
  <c r="P128" i="1" s="1"/>
  <c r="L128" i="1"/>
  <c r="I128" i="1"/>
  <c r="H128" i="1"/>
  <c r="C128" i="1"/>
  <c r="AI127" i="1"/>
  <c r="AG127" i="1"/>
  <c r="AF127" i="1"/>
  <c r="AE127" i="1"/>
  <c r="Q127" i="1"/>
  <c r="P127" i="1"/>
  <c r="O127" i="1"/>
  <c r="L127" i="1"/>
  <c r="I127" i="1"/>
  <c r="H127" i="1"/>
  <c r="C127" i="1"/>
  <c r="AI126" i="1"/>
  <c r="AG126" i="1"/>
  <c r="AF126" i="1"/>
  <c r="AE126" i="1"/>
  <c r="Q126" i="1"/>
  <c r="O126" i="1"/>
  <c r="P126" i="1" s="1"/>
  <c r="L126" i="1"/>
  <c r="I126" i="1"/>
  <c r="H126" i="1"/>
  <c r="C126" i="1"/>
  <c r="AI125" i="1"/>
  <c r="AG125" i="1"/>
  <c r="AF125" i="1"/>
  <c r="AE125" i="1"/>
  <c r="Q125" i="1"/>
  <c r="O125" i="1"/>
  <c r="P125" i="1" s="1"/>
  <c r="L125" i="1"/>
  <c r="I125" i="1"/>
  <c r="H125" i="1"/>
  <c r="C125" i="1"/>
  <c r="AI124" i="1"/>
  <c r="AG124" i="1"/>
  <c r="AF124" i="1"/>
  <c r="AE124" i="1"/>
  <c r="Q124" i="1"/>
  <c r="O124" i="1"/>
  <c r="P124" i="1" s="1"/>
  <c r="L124" i="1"/>
  <c r="I124" i="1"/>
  <c r="H124" i="1"/>
  <c r="C124" i="1"/>
  <c r="AI123" i="1"/>
  <c r="AG123" i="1"/>
  <c r="AF123" i="1"/>
  <c r="AE123" i="1"/>
  <c r="W123" i="1"/>
  <c r="R123" i="1" s="1"/>
  <c r="T123" i="1" s="1"/>
  <c r="J123" i="1" s="1"/>
  <c r="Q123" i="1"/>
  <c r="P123" i="1"/>
  <c r="O123" i="1"/>
  <c r="L123" i="1"/>
  <c r="I123" i="1"/>
  <c r="H123" i="1"/>
  <c r="C123" i="1"/>
  <c r="AI122" i="1"/>
  <c r="AG122" i="1"/>
  <c r="AF122" i="1"/>
  <c r="AE122" i="1"/>
  <c r="Q122" i="1"/>
  <c r="O122" i="1"/>
  <c r="P122" i="1" s="1"/>
  <c r="L122" i="1"/>
  <c r="I122" i="1"/>
  <c r="H122" i="1"/>
  <c r="C122" i="1"/>
  <c r="AN121" i="1"/>
  <c r="AI121" i="1"/>
  <c r="AG121" i="1"/>
  <c r="AF121" i="1"/>
  <c r="AE121" i="1"/>
  <c r="Q121" i="1"/>
  <c r="O121" i="1"/>
  <c r="P121" i="1" s="1"/>
  <c r="L121" i="1"/>
  <c r="I121" i="1"/>
  <c r="H121" i="1"/>
  <c r="C121" i="1"/>
  <c r="AI120" i="1"/>
  <c r="AG120" i="1"/>
  <c r="AF120" i="1"/>
  <c r="AE120" i="1"/>
  <c r="Q120" i="1"/>
  <c r="O120" i="1"/>
  <c r="P120" i="1" s="1"/>
  <c r="W120" i="1" s="1"/>
  <c r="R120" i="1" s="1"/>
  <c r="T120" i="1" s="1"/>
  <c r="L120" i="1"/>
  <c r="I120" i="1"/>
  <c r="H120" i="1"/>
  <c r="C120" i="1"/>
  <c r="AI119" i="1"/>
  <c r="AG119" i="1"/>
  <c r="AF119" i="1"/>
  <c r="AE119" i="1"/>
  <c r="Q119" i="1"/>
  <c r="O119" i="1"/>
  <c r="P119" i="1" s="1"/>
  <c r="L119" i="1"/>
  <c r="I119" i="1"/>
  <c r="H119" i="1"/>
  <c r="C119" i="1"/>
  <c r="AI118" i="1"/>
  <c r="AG118" i="1"/>
  <c r="AF118" i="1"/>
  <c r="AE118" i="1"/>
  <c r="W118" i="1"/>
  <c r="R118" i="1" s="1"/>
  <c r="T118" i="1" s="1"/>
  <c r="J118" i="1" s="1"/>
  <c r="V118" i="1"/>
  <c r="Q118" i="1"/>
  <c r="P118" i="1"/>
  <c r="X118" i="1" s="1"/>
  <c r="O118" i="1"/>
  <c r="L118" i="1"/>
  <c r="I118" i="1"/>
  <c r="H118" i="1"/>
  <c r="C118" i="1"/>
  <c r="AI117" i="1"/>
  <c r="AG117" i="1"/>
  <c r="AF117" i="1"/>
  <c r="AE117" i="1"/>
  <c r="Q117" i="1"/>
  <c r="O117" i="1"/>
  <c r="P117" i="1" s="1"/>
  <c r="L117" i="1"/>
  <c r="I117" i="1"/>
  <c r="H117" i="1"/>
  <c r="C117" i="1"/>
  <c r="AI116" i="1"/>
  <c r="AG116" i="1"/>
  <c r="AF116" i="1"/>
  <c r="AE116" i="1"/>
  <c r="R116" i="1"/>
  <c r="T116" i="1" s="1"/>
  <c r="Q116" i="1"/>
  <c r="P116" i="1"/>
  <c r="W116" i="1" s="1"/>
  <c r="O116" i="1"/>
  <c r="L116" i="1"/>
  <c r="I116" i="1"/>
  <c r="H116" i="1"/>
  <c r="C116" i="1"/>
  <c r="AI115" i="1"/>
  <c r="AG115" i="1"/>
  <c r="AF115" i="1"/>
  <c r="AE115" i="1"/>
  <c r="W115" i="1"/>
  <c r="R115" i="1" s="1"/>
  <c r="T115" i="1" s="1"/>
  <c r="V115" i="1" s="1"/>
  <c r="X115" i="1" s="1"/>
  <c r="Q115" i="1"/>
  <c r="P115" i="1"/>
  <c r="O115" i="1"/>
  <c r="L115" i="1"/>
  <c r="I115" i="1"/>
  <c r="H115" i="1"/>
  <c r="C115" i="1"/>
  <c r="AI114" i="1"/>
  <c r="AG114" i="1"/>
  <c r="AF114" i="1"/>
  <c r="AE114" i="1"/>
  <c r="Q114" i="1"/>
  <c r="P114" i="1"/>
  <c r="O114" i="1"/>
  <c r="L114" i="1"/>
  <c r="I114" i="1"/>
  <c r="H114" i="1"/>
  <c r="C114" i="1"/>
  <c r="AI113" i="1"/>
  <c r="AG113" i="1"/>
  <c r="AF113" i="1"/>
  <c r="AE113" i="1"/>
  <c r="Q113" i="1"/>
  <c r="O113" i="1"/>
  <c r="P113" i="1" s="1"/>
  <c r="L113" i="1"/>
  <c r="I113" i="1"/>
  <c r="H113" i="1"/>
  <c r="C113" i="1"/>
  <c r="AI112" i="1"/>
  <c r="AG112" i="1"/>
  <c r="AF112" i="1"/>
  <c r="AE112" i="1"/>
  <c r="V112" i="1"/>
  <c r="X112" i="1" s="1"/>
  <c r="R112" i="1"/>
  <c r="T112" i="1" s="1"/>
  <c r="J112" i="1" s="1"/>
  <c r="Q112" i="1"/>
  <c r="O112" i="1"/>
  <c r="P112" i="1" s="1"/>
  <c r="W112" i="1" s="1"/>
  <c r="L112" i="1"/>
  <c r="I112" i="1"/>
  <c r="H112" i="1"/>
  <c r="C112" i="1"/>
  <c r="AI111" i="1"/>
  <c r="AG111" i="1"/>
  <c r="AF111" i="1"/>
  <c r="AE111" i="1"/>
  <c r="Q111" i="1"/>
  <c r="O111" i="1"/>
  <c r="P111" i="1" s="1"/>
  <c r="L111" i="1"/>
  <c r="I111" i="1"/>
  <c r="H111" i="1"/>
  <c r="C111" i="1"/>
  <c r="AI110" i="1"/>
  <c r="AG110" i="1"/>
  <c r="AF110" i="1"/>
  <c r="AE110" i="1"/>
  <c r="W110" i="1"/>
  <c r="R110" i="1" s="1"/>
  <c r="T110" i="1" s="1"/>
  <c r="Q110" i="1"/>
  <c r="P110" i="1"/>
  <c r="O110" i="1"/>
  <c r="L110" i="1"/>
  <c r="I110" i="1"/>
  <c r="H110" i="1"/>
  <c r="C110" i="1"/>
  <c r="AI109" i="1"/>
  <c r="AG109" i="1"/>
  <c r="AF109" i="1"/>
  <c r="AE109" i="1"/>
  <c r="W109" i="1"/>
  <c r="R109" i="1" s="1"/>
  <c r="T109" i="1" s="1"/>
  <c r="Q109" i="1"/>
  <c r="P109" i="1"/>
  <c r="O109" i="1"/>
  <c r="L109" i="1"/>
  <c r="I109" i="1"/>
  <c r="H109" i="1"/>
  <c r="C109" i="1"/>
  <c r="AI108" i="1"/>
  <c r="AG108" i="1"/>
  <c r="AF108" i="1"/>
  <c r="AE108" i="1"/>
  <c r="Q108" i="1"/>
  <c r="P108" i="1"/>
  <c r="O108" i="1"/>
  <c r="L108" i="1"/>
  <c r="I108" i="1"/>
  <c r="H108" i="1"/>
  <c r="C108" i="1"/>
  <c r="AN107" i="1"/>
  <c r="AI107" i="1"/>
  <c r="AG107" i="1"/>
  <c r="AF107" i="1"/>
  <c r="AE107" i="1"/>
  <c r="Q107" i="1"/>
  <c r="O107" i="1"/>
  <c r="P107" i="1" s="1"/>
  <c r="L107" i="1"/>
  <c r="I107" i="1"/>
  <c r="H107" i="1"/>
  <c r="C107" i="1"/>
  <c r="AI106" i="1"/>
  <c r="AG106" i="1"/>
  <c r="AF106" i="1"/>
  <c r="AE106" i="1"/>
  <c r="W106" i="1"/>
  <c r="R106" i="1" s="1"/>
  <c r="T106" i="1" s="1"/>
  <c r="Q106" i="1"/>
  <c r="O106" i="1"/>
  <c r="P106" i="1" s="1"/>
  <c r="L106" i="1"/>
  <c r="I106" i="1"/>
  <c r="H106" i="1"/>
  <c r="C106" i="1"/>
  <c r="AI105" i="1"/>
  <c r="AG105" i="1"/>
  <c r="AF105" i="1"/>
  <c r="AE105" i="1"/>
  <c r="Q105" i="1"/>
  <c r="O105" i="1"/>
  <c r="P105" i="1" s="1"/>
  <c r="L105" i="1"/>
  <c r="I105" i="1"/>
  <c r="H105" i="1"/>
  <c r="C105" i="1"/>
  <c r="AI104" i="1"/>
  <c r="AG104" i="1"/>
  <c r="AF104" i="1"/>
  <c r="AE104" i="1"/>
  <c r="Q104" i="1"/>
  <c r="O104" i="1"/>
  <c r="P104" i="1" s="1"/>
  <c r="W104" i="1" s="1"/>
  <c r="R104" i="1" s="1"/>
  <c r="T104" i="1" s="1"/>
  <c r="L104" i="1"/>
  <c r="I104" i="1"/>
  <c r="H104" i="1"/>
  <c r="C104" i="1"/>
  <c r="AI103" i="1"/>
  <c r="AG103" i="1"/>
  <c r="AF103" i="1"/>
  <c r="AE103" i="1"/>
  <c r="Q103" i="1"/>
  <c r="O103" i="1"/>
  <c r="P103" i="1" s="1"/>
  <c r="L103" i="1"/>
  <c r="I103" i="1"/>
  <c r="H103" i="1"/>
  <c r="C103" i="1"/>
  <c r="AI102" i="1"/>
  <c r="AG102" i="1"/>
  <c r="AF102" i="1"/>
  <c r="AE102" i="1"/>
  <c r="Q102" i="1"/>
  <c r="O102" i="1"/>
  <c r="P102" i="1" s="1"/>
  <c r="L102" i="1"/>
  <c r="I102" i="1"/>
  <c r="H102" i="1"/>
  <c r="C102" i="1"/>
  <c r="AI101" i="1"/>
  <c r="AG101" i="1"/>
  <c r="AF101" i="1"/>
  <c r="AE101" i="1"/>
  <c r="Q101" i="1"/>
  <c r="O101" i="1"/>
  <c r="P101" i="1" s="1"/>
  <c r="L101" i="1"/>
  <c r="I101" i="1"/>
  <c r="H101" i="1"/>
  <c r="C101" i="1"/>
  <c r="AI100" i="1"/>
  <c r="AG100" i="1"/>
  <c r="AF100" i="1"/>
  <c r="AE100" i="1"/>
  <c r="Q100" i="1"/>
  <c r="O100" i="1"/>
  <c r="P100" i="1" s="1"/>
  <c r="L100" i="1"/>
  <c r="I100" i="1"/>
  <c r="H100" i="1"/>
  <c r="C100" i="1"/>
  <c r="AI99" i="1"/>
  <c r="AG99" i="1"/>
  <c r="AF99" i="1"/>
  <c r="AE99" i="1"/>
  <c r="W99" i="1"/>
  <c r="R99" i="1" s="1"/>
  <c r="T99" i="1" s="1"/>
  <c r="Q99" i="1"/>
  <c r="P99" i="1"/>
  <c r="O99" i="1"/>
  <c r="L99" i="1"/>
  <c r="I99" i="1"/>
  <c r="H99" i="1"/>
  <c r="C99" i="1"/>
  <c r="AI98" i="1"/>
  <c r="AG98" i="1"/>
  <c r="AF98" i="1"/>
  <c r="AE98" i="1"/>
  <c r="Q98" i="1"/>
  <c r="P98" i="1"/>
  <c r="O98" i="1"/>
  <c r="L98" i="1"/>
  <c r="I98" i="1"/>
  <c r="H98" i="1"/>
  <c r="C98" i="1"/>
  <c r="AI97" i="1"/>
  <c r="AG97" i="1"/>
  <c r="AF97" i="1"/>
  <c r="AE97" i="1"/>
  <c r="Q97" i="1"/>
  <c r="O97" i="1"/>
  <c r="P97" i="1" s="1"/>
  <c r="L97" i="1"/>
  <c r="I97" i="1"/>
  <c r="H97" i="1"/>
  <c r="C97" i="1"/>
  <c r="AI96" i="1"/>
  <c r="AG96" i="1"/>
  <c r="AF96" i="1"/>
  <c r="AE96" i="1"/>
  <c r="Q96" i="1"/>
  <c r="O96" i="1"/>
  <c r="P96" i="1" s="1"/>
  <c r="L96" i="1"/>
  <c r="I96" i="1"/>
  <c r="H96" i="1"/>
  <c r="C96" i="1"/>
  <c r="AI95" i="1"/>
  <c r="AG95" i="1"/>
  <c r="AF95" i="1"/>
  <c r="AE95" i="1"/>
  <c r="Q95" i="1"/>
  <c r="O95" i="1"/>
  <c r="P95" i="1" s="1"/>
  <c r="L95" i="1"/>
  <c r="I95" i="1"/>
  <c r="H95" i="1"/>
  <c r="C95" i="1"/>
  <c r="AI94" i="1"/>
  <c r="AG94" i="1"/>
  <c r="AF94" i="1"/>
  <c r="AE94" i="1"/>
  <c r="Q94" i="1"/>
  <c r="O94" i="1"/>
  <c r="P94" i="1" s="1"/>
  <c r="L94" i="1"/>
  <c r="I94" i="1"/>
  <c r="H94" i="1"/>
  <c r="C94" i="1"/>
  <c r="AN93" i="1"/>
  <c r="AI93" i="1"/>
  <c r="AG93" i="1"/>
  <c r="AF93" i="1"/>
  <c r="AE93" i="1"/>
  <c r="Q93" i="1"/>
  <c r="P93" i="1"/>
  <c r="O93" i="1"/>
  <c r="L93" i="1"/>
  <c r="I93" i="1"/>
  <c r="H93" i="1"/>
  <c r="C93" i="1"/>
  <c r="AI92" i="1"/>
  <c r="AG92" i="1"/>
  <c r="AF92" i="1"/>
  <c r="AE92" i="1"/>
  <c r="Q92" i="1"/>
  <c r="O92" i="1"/>
  <c r="P92" i="1" s="1"/>
  <c r="L92" i="1"/>
  <c r="I92" i="1"/>
  <c r="H92" i="1"/>
  <c r="C92" i="1"/>
  <c r="AI91" i="1"/>
  <c r="AG91" i="1"/>
  <c r="AF91" i="1"/>
  <c r="AE91" i="1"/>
  <c r="Q91" i="1"/>
  <c r="O91" i="1"/>
  <c r="P91" i="1" s="1"/>
  <c r="W91" i="1" s="1"/>
  <c r="R91" i="1" s="1"/>
  <c r="T91" i="1" s="1"/>
  <c r="L91" i="1"/>
  <c r="I91" i="1"/>
  <c r="H91" i="1"/>
  <c r="C91" i="1"/>
  <c r="AI90" i="1"/>
  <c r="AG90" i="1"/>
  <c r="AF90" i="1"/>
  <c r="AE90" i="1"/>
  <c r="Q90" i="1"/>
  <c r="O90" i="1"/>
  <c r="P90" i="1" s="1"/>
  <c r="L90" i="1"/>
  <c r="I90" i="1"/>
  <c r="H90" i="1"/>
  <c r="C90" i="1"/>
  <c r="AI89" i="1"/>
  <c r="AG89" i="1"/>
  <c r="AF89" i="1"/>
  <c r="AE89" i="1"/>
  <c r="Q89" i="1"/>
  <c r="O89" i="1"/>
  <c r="P89" i="1" s="1"/>
  <c r="L89" i="1"/>
  <c r="I89" i="1"/>
  <c r="H89" i="1"/>
  <c r="C89" i="1"/>
  <c r="AI88" i="1"/>
  <c r="AG88" i="1"/>
  <c r="AF88" i="1"/>
  <c r="AE88" i="1"/>
  <c r="Q88" i="1"/>
  <c r="O88" i="1"/>
  <c r="P88" i="1" s="1"/>
  <c r="L88" i="1"/>
  <c r="I88" i="1"/>
  <c r="H88" i="1"/>
  <c r="C88" i="1"/>
  <c r="AI87" i="1"/>
  <c r="AG87" i="1"/>
  <c r="AF87" i="1"/>
  <c r="AE87" i="1"/>
  <c r="W87" i="1"/>
  <c r="R87" i="1"/>
  <c r="T87" i="1" s="1"/>
  <c r="Q87" i="1"/>
  <c r="P87" i="1"/>
  <c r="O87" i="1"/>
  <c r="L87" i="1"/>
  <c r="I87" i="1"/>
  <c r="H87" i="1"/>
  <c r="C87" i="1"/>
  <c r="AI86" i="1"/>
  <c r="AG86" i="1"/>
  <c r="AF86" i="1"/>
  <c r="AE86" i="1"/>
  <c r="W86" i="1"/>
  <c r="R86" i="1" s="1"/>
  <c r="T86" i="1" s="1"/>
  <c r="V86" i="1" s="1"/>
  <c r="Q86" i="1"/>
  <c r="P86" i="1"/>
  <c r="X86" i="1" s="1"/>
  <c r="O86" i="1"/>
  <c r="L86" i="1"/>
  <c r="J86" i="1"/>
  <c r="I86" i="1"/>
  <c r="H86" i="1"/>
  <c r="C86" i="1"/>
  <c r="AI85" i="1"/>
  <c r="AG85" i="1"/>
  <c r="AF85" i="1"/>
  <c r="AE85" i="1"/>
  <c r="Q85" i="1"/>
  <c r="P85" i="1"/>
  <c r="O85" i="1"/>
  <c r="L85" i="1"/>
  <c r="I85" i="1"/>
  <c r="H85" i="1"/>
  <c r="C85" i="1"/>
  <c r="AI84" i="1"/>
  <c r="AG84" i="1"/>
  <c r="AF84" i="1"/>
  <c r="AE84" i="1"/>
  <c r="Q84" i="1"/>
  <c r="O84" i="1"/>
  <c r="P84" i="1" s="1"/>
  <c r="L84" i="1"/>
  <c r="I84" i="1"/>
  <c r="H84" i="1"/>
  <c r="C84" i="1"/>
  <c r="AI83" i="1"/>
  <c r="AG83" i="1"/>
  <c r="AF83" i="1"/>
  <c r="AE83" i="1"/>
  <c r="Q83" i="1"/>
  <c r="O83" i="1"/>
  <c r="P83" i="1" s="1"/>
  <c r="W83" i="1" s="1"/>
  <c r="R83" i="1" s="1"/>
  <c r="T83" i="1" s="1"/>
  <c r="L83" i="1"/>
  <c r="I83" i="1"/>
  <c r="H83" i="1"/>
  <c r="C83" i="1"/>
  <c r="AI82" i="1"/>
  <c r="AG82" i="1"/>
  <c r="AF82" i="1"/>
  <c r="AE82" i="1"/>
  <c r="Q82" i="1"/>
  <c r="O82" i="1"/>
  <c r="P82" i="1" s="1"/>
  <c r="L82" i="1"/>
  <c r="I82" i="1"/>
  <c r="H82" i="1"/>
  <c r="C82" i="1"/>
  <c r="AI81" i="1"/>
  <c r="AG81" i="1"/>
  <c r="AF81" i="1"/>
  <c r="AE81" i="1"/>
  <c r="Q81" i="1"/>
  <c r="O81" i="1"/>
  <c r="P81" i="1" s="1"/>
  <c r="L81" i="1"/>
  <c r="I81" i="1"/>
  <c r="H81" i="1"/>
  <c r="C81" i="1"/>
  <c r="AI80" i="1"/>
  <c r="AG80" i="1"/>
  <c r="AF80" i="1"/>
  <c r="AE80" i="1"/>
  <c r="Q80" i="1"/>
  <c r="O80" i="1"/>
  <c r="P80" i="1" s="1"/>
  <c r="L80" i="1"/>
  <c r="I80" i="1"/>
  <c r="H80" i="1"/>
  <c r="C80" i="1"/>
  <c r="AI79" i="1"/>
  <c r="AG79" i="1"/>
  <c r="AF79" i="1"/>
  <c r="AE79" i="1"/>
  <c r="W79" i="1"/>
  <c r="R79" i="1"/>
  <c r="T79" i="1" s="1"/>
  <c r="Q79" i="1"/>
  <c r="P79" i="1"/>
  <c r="O79" i="1"/>
  <c r="L79" i="1"/>
  <c r="I79" i="1"/>
  <c r="H79" i="1"/>
  <c r="C79" i="1"/>
  <c r="AI78" i="1"/>
  <c r="AG78" i="1"/>
  <c r="AF78" i="1"/>
  <c r="AE78" i="1"/>
  <c r="W78" i="1"/>
  <c r="R78" i="1" s="1"/>
  <c r="T78" i="1" s="1"/>
  <c r="V78" i="1" s="1"/>
  <c r="Q78" i="1"/>
  <c r="P78" i="1"/>
  <c r="X78" i="1" s="1"/>
  <c r="O78" i="1"/>
  <c r="L78" i="1"/>
  <c r="I78" i="1"/>
  <c r="H78" i="1"/>
  <c r="C78" i="1"/>
  <c r="AI77" i="1"/>
  <c r="AG77" i="1"/>
  <c r="AF77" i="1"/>
  <c r="AE77" i="1"/>
  <c r="Q77" i="1"/>
  <c r="P77" i="1"/>
  <c r="O77" i="1"/>
  <c r="L77" i="1"/>
  <c r="I77" i="1"/>
  <c r="H77" i="1"/>
  <c r="C77" i="1"/>
  <c r="AI76" i="1"/>
  <c r="AG76" i="1"/>
  <c r="AF76" i="1"/>
  <c r="AE76" i="1"/>
  <c r="Q76" i="1"/>
  <c r="O76" i="1"/>
  <c r="P76" i="1" s="1"/>
  <c r="W76" i="1" s="1"/>
  <c r="R76" i="1" s="1"/>
  <c r="T76" i="1" s="1"/>
  <c r="L76" i="1"/>
  <c r="I76" i="1"/>
  <c r="H76" i="1"/>
  <c r="C76" i="1"/>
  <c r="AI75" i="1"/>
  <c r="AG75" i="1"/>
  <c r="AF75" i="1"/>
  <c r="AE75" i="1"/>
  <c r="W75" i="1"/>
  <c r="R75" i="1" s="1"/>
  <c r="T75" i="1" s="1"/>
  <c r="J75" i="1" s="1"/>
  <c r="V75" i="1"/>
  <c r="X75" i="1" s="1"/>
  <c r="Q75" i="1"/>
  <c r="O75" i="1"/>
  <c r="P75" i="1" s="1"/>
  <c r="L75" i="1"/>
  <c r="I75" i="1"/>
  <c r="H75" i="1"/>
  <c r="C75" i="1"/>
  <c r="AI74" i="1"/>
  <c r="AG74" i="1"/>
  <c r="AF74" i="1"/>
  <c r="AE74" i="1"/>
  <c r="W74" i="1"/>
  <c r="R74" i="1" s="1"/>
  <c r="T74" i="1" s="1"/>
  <c r="Q74" i="1"/>
  <c r="P74" i="1"/>
  <c r="O74" i="1"/>
  <c r="L74" i="1"/>
  <c r="I74" i="1"/>
  <c r="H74" i="1"/>
  <c r="C74" i="1"/>
  <c r="AI73" i="1"/>
  <c r="AG73" i="1"/>
  <c r="AF73" i="1"/>
  <c r="AE73" i="1"/>
  <c r="Q73" i="1"/>
  <c r="O73" i="1"/>
  <c r="P73" i="1" s="1"/>
  <c r="W73" i="1" s="1"/>
  <c r="R73" i="1" s="1"/>
  <c r="T73" i="1" s="1"/>
  <c r="L73" i="1"/>
  <c r="I73" i="1"/>
  <c r="H73" i="1"/>
  <c r="C73" i="1"/>
  <c r="AI72" i="1"/>
  <c r="AG72" i="1"/>
  <c r="AF72" i="1"/>
  <c r="AE72" i="1"/>
  <c r="Q72" i="1"/>
  <c r="O72" i="1"/>
  <c r="P72" i="1" s="1"/>
  <c r="L72" i="1"/>
  <c r="I72" i="1"/>
  <c r="H72" i="1"/>
  <c r="C72" i="1"/>
  <c r="AI71" i="1"/>
  <c r="AG71" i="1"/>
  <c r="AF71" i="1"/>
  <c r="AE71" i="1"/>
  <c r="Q71" i="1"/>
  <c r="O71" i="1"/>
  <c r="P71" i="1" s="1"/>
  <c r="L71" i="1"/>
  <c r="I71" i="1"/>
  <c r="H71" i="1"/>
  <c r="C71" i="1"/>
  <c r="AI70" i="1"/>
  <c r="AG70" i="1"/>
  <c r="AF70" i="1"/>
  <c r="AE70" i="1"/>
  <c r="Q70" i="1"/>
  <c r="O70" i="1"/>
  <c r="P70" i="1" s="1"/>
  <c r="L70" i="1"/>
  <c r="I70" i="1"/>
  <c r="H70" i="1"/>
  <c r="C70" i="1"/>
  <c r="AI69" i="1"/>
  <c r="AG69" i="1"/>
  <c r="AF69" i="1"/>
  <c r="AE69" i="1"/>
  <c r="Q69" i="1"/>
  <c r="O69" i="1"/>
  <c r="P69" i="1" s="1"/>
  <c r="L69" i="1"/>
  <c r="I69" i="1"/>
  <c r="H69" i="1"/>
  <c r="C69" i="1"/>
  <c r="AI68" i="1"/>
  <c r="AG68" i="1"/>
  <c r="AF68" i="1"/>
  <c r="AE68" i="1"/>
  <c r="W68" i="1"/>
  <c r="R68" i="1" s="1"/>
  <c r="T68" i="1" s="1"/>
  <c r="V68" i="1" s="1"/>
  <c r="X68" i="1" s="1"/>
  <c r="Q68" i="1"/>
  <c r="P68" i="1"/>
  <c r="O68" i="1"/>
  <c r="L68" i="1"/>
  <c r="I68" i="1"/>
  <c r="H68" i="1"/>
  <c r="C68" i="1"/>
  <c r="AI67" i="1"/>
  <c r="AG67" i="1"/>
  <c r="AF67" i="1"/>
  <c r="AE67" i="1"/>
  <c r="Q67" i="1"/>
  <c r="P67" i="1"/>
  <c r="O67" i="1"/>
  <c r="L67" i="1"/>
  <c r="I67" i="1"/>
  <c r="H67" i="1"/>
  <c r="C67" i="1"/>
  <c r="AI66" i="1"/>
  <c r="AG66" i="1"/>
  <c r="AF66" i="1"/>
  <c r="AE66" i="1"/>
  <c r="W66" i="1"/>
  <c r="R66" i="1" s="1"/>
  <c r="T66" i="1" s="1"/>
  <c r="Q66" i="1"/>
  <c r="P66" i="1"/>
  <c r="O66" i="1"/>
  <c r="L66" i="1"/>
  <c r="I66" i="1"/>
  <c r="H66" i="1"/>
  <c r="C66" i="1"/>
  <c r="AN65" i="1"/>
  <c r="AI65" i="1"/>
  <c r="AG65" i="1"/>
  <c r="AF65" i="1"/>
  <c r="AE65" i="1"/>
  <c r="Q65" i="1"/>
  <c r="O65" i="1"/>
  <c r="P65" i="1" s="1"/>
  <c r="L65" i="1"/>
  <c r="I65" i="1"/>
  <c r="H65" i="1"/>
  <c r="C65" i="1"/>
  <c r="AI64" i="1"/>
  <c r="AG64" i="1"/>
  <c r="AF64" i="1"/>
  <c r="AE64" i="1"/>
  <c r="Q64" i="1"/>
  <c r="O64" i="1"/>
  <c r="P64" i="1" s="1"/>
  <c r="L64" i="1"/>
  <c r="I64" i="1"/>
  <c r="H64" i="1"/>
  <c r="C64" i="1"/>
  <c r="AI63" i="1"/>
  <c r="AG63" i="1"/>
  <c r="AF63" i="1"/>
  <c r="AE63" i="1"/>
  <c r="X63" i="1"/>
  <c r="W63" i="1"/>
  <c r="R63" i="1" s="1"/>
  <c r="T63" i="1" s="1"/>
  <c r="V63" i="1" s="1"/>
  <c r="Q63" i="1"/>
  <c r="P63" i="1"/>
  <c r="O63" i="1"/>
  <c r="L63" i="1"/>
  <c r="J63" i="1"/>
  <c r="I63" i="1"/>
  <c r="H63" i="1"/>
  <c r="C63" i="1"/>
  <c r="AI62" i="1"/>
  <c r="AG62" i="1"/>
  <c r="AF62" i="1"/>
  <c r="AE62" i="1"/>
  <c r="Q62" i="1"/>
  <c r="P62" i="1"/>
  <c r="O62" i="1"/>
  <c r="L62" i="1"/>
  <c r="I62" i="1"/>
  <c r="H62" i="1"/>
  <c r="C62" i="1"/>
  <c r="AI61" i="1"/>
  <c r="AG61" i="1"/>
  <c r="AF61" i="1"/>
  <c r="AE61" i="1"/>
  <c r="W61" i="1"/>
  <c r="R61" i="1" s="1"/>
  <c r="T61" i="1" s="1"/>
  <c r="Q61" i="1"/>
  <c r="P61" i="1"/>
  <c r="O61" i="1"/>
  <c r="L61" i="1"/>
  <c r="I61" i="1"/>
  <c r="H61" i="1"/>
  <c r="C61" i="1"/>
  <c r="AI60" i="1"/>
  <c r="AG60" i="1"/>
  <c r="AF60" i="1"/>
  <c r="AE60" i="1"/>
  <c r="Q60" i="1"/>
  <c r="O60" i="1"/>
  <c r="P60" i="1" s="1"/>
  <c r="W60" i="1" s="1"/>
  <c r="R60" i="1" s="1"/>
  <c r="T60" i="1" s="1"/>
  <c r="L60" i="1"/>
  <c r="I60" i="1"/>
  <c r="H60" i="1"/>
  <c r="C60" i="1"/>
  <c r="AI59" i="1"/>
  <c r="AG59" i="1"/>
  <c r="AF59" i="1"/>
  <c r="AE59" i="1"/>
  <c r="Q59" i="1"/>
  <c r="O59" i="1"/>
  <c r="P59" i="1" s="1"/>
  <c r="L59" i="1"/>
  <c r="I59" i="1"/>
  <c r="H59" i="1"/>
  <c r="C59" i="1"/>
  <c r="AI58" i="1"/>
  <c r="AG58" i="1"/>
  <c r="AF58" i="1"/>
  <c r="AE58" i="1"/>
  <c r="W58" i="1"/>
  <c r="R58" i="1" s="1"/>
  <c r="T58" i="1" s="1"/>
  <c r="V58" i="1" s="1"/>
  <c r="Q58" i="1"/>
  <c r="O58" i="1"/>
  <c r="P58" i="1" s="1"/>
  <c r="L58" i="1"/>
  <c r="J58" i="1"/>
  <c r="I58" i="1"/>
  <c r="H58" i="1"/>
  <c r="C58" i="1"/>
  <c r="AI57" i="1"/>
  <c r="AG57" i="1"/>
  <c r="AF57" i="1"/>
  <c r="AE57" i="1"/>
  <c r="Q57" i="1"/>
  <c r="P57" i="1"/>
  <c r="O57" i="1"/>
  <c r="L57" i="1"/>
  <c r="I57" i="1"/>
  <c r="H57" i="1"/>
  <c r="C57" i="1"/>
  <c r="AI56" i="1"/>
  <c r="AG56" i="1"/>
  <c r="AF56" i="1"/>
  <c r="AE56" i="1"/>
  <c r="Q56" i="1"/>
  <c r="O56" i="1"/>
  <c r="P56" i="1" s="1"/>
  <c r="L56" i="1"/>
  <c r="I56" i="1"/>
  <c r="H56" i="1"/>
  <c r="C56" i="1"/>
  <c r="AI55" i="1"/>
  <c r="AG55" i="1"/>
  <c r="AF55" i="1"/>
  <c r="AE55" i="1"/>
  <c r="Q55" i="1"/>
  <c r="O55" i="1"/>
  <c r="P55" i="1" s="1"/>
  <c r="L55" i="1"/>
  <c r="I55" i="1"/>
  <c r="H55" i="1"/>
  <c r="C55" i="1"/>
  <c r="AI54" i="1"/>
  <c r="AG54" i="1"/>
  <c r="AF54" i="1"/>
  <c r="AE54" i="1"/>
  <c r="Q54" i="1"/>
  <c r="P54" i="1"/>
  <c r="O54" i="1"/>
  <c r="L54" i="1"/>
  <c r="I54" i="1"/>
  <c r="H54" i="1"/>
  <c r="C54" i="1"/>
  <c r="AI53" i="1"/>
  <c r="AG53" i="1"/>
  <c r="AF53" i="1"/>
  <c r="AE53" i="1"/>
  <c r="W53" i="1"/>
  <c r="R53" i="1" s="1"/>
  <c r="T53" i="1" s="1"/>
  <c r="Q53" i="1"/>
  <c r="P53" i="1"/>
  <c r="O53" i="1"/>
  <c r="L53" i="1"/>
  <c r="I53" i="1"/>
  <c r="H53" i="1"/>
  <c r="C53" i="1"/>
  <c r="AI52" i="1"/>
  <c r="AG52" i="1"/>
  <c r="AF52" i="1"/>
  <c r="AE52" i="1"/>
  <c r="Q52" i="1"/>
  <c r="O52" i="1"/>
  <c r="P52" i="1" s="1"/>
  <c r="W52" i="1" s="1"/>
  <c r="R52" i="1" s="1"/>
  <c r="T52" i="1" s="1"/>
  <c r="L52" i="1"/>
  <c r="I52" i="1"/>
  <c r="H52" i="1"/>
  <c r="C52" i="1"/>
  <c r="AI51" i="1"/>
  <c r="AG51" i="1"/>
  <c r="AF51" i="1"/>
  <c r="AE51" i="1"/>
  <c r="Q51" i="1"/>
  <c r="O51" i="1"/>
  <c r="P51" i="1" s="1"/>
  <c r="L51" i="1"/>
  <c r="I51" i="1"/>
  <c r="H51" i="1"/>
  <c r="C51" i="1"/>
  <c r="AI50" i="1"/>
  <c r="AG50" i="1"/>
  <c r="AF50" i="1"/>
  <c r="AE50" i="1"/>
  <c r="W50" i="1"/>
  <c r="R50" i="1" s="1"/>
  <c r="T50" i="1" s="1"/>
  <c r="V50" i="1"/>
  <c r="Q50" i="1"/>
  <c r="O50" i="1"/>
  <c r="P50" i="1" s="1"/>
  <c r="L50" i="1"/>
  <c r="J50" i="1"/>
  <c r="I50" i="1"/>
  <c r="H50" i="1"/>
  <c r="C50" i="1"/>
  <c r="AI49" i="1"/>
  <c r="AG49" i="1"/>
  <c r="AF49" i="1"/>
  <c r="AE49" i="1"/>
  <c r="Q49" i="1"/>
  <c r="P49" i="1"/>
  <c r="O49" i="1"/>
  <c r="L49" i="1"/>
  <c r="I49" i="1"/>
  <c r="H49" i="1"/>
  <c r="C49" i="1"/>
  <c r="AI48" i="1"/>
  <c r="AG48" i="1"/>
  <c r="AF48" i="1"/>
  <c r="AE48" i="1"/>
  <c r="Q48" i="1"/>
  <c r="O48" i="1"/>
  <c r="P48" i="1" s="1"/>
  <c r="L48" i="1"/>
  <c r="I48" i="1"/>
  <c r="H48" i="1"/>
  <c r="C48" i="1"/>
  <c r="AI47" i="1"/>
  <c r="AG47" i="1"/>
  <c r="AF47" i="1"/>
  <c r="AE47" i="1"/>
  <c r="W47" i="1"/>
  <c r="R47" i="1" s="1"/>
  <c r="T47" i="1" s="1"/>
  <c r="V47" i="1" s="1"/>
  <c r="Q47" i="1"/>
  <c r="O47" i="1"/>
  <c r="P47" i="1" s="1"/>
  <c r="X47" i="1" s="1"/>
  <c r="L47" i="1"/>
  <c r="I47" i="1"/>
  <c r="H47" i="1"/>
  <c r="C47" i="1"/>
  <c r="AI46" i="1"/>
  <c r="AG46" i="1"/>
  <c r="AF46" i="1"/>
  <c r="AE46" i="1"/>
  <c r="Q46" i="1"/>
  <c r="P46" i="1"/>
  <c r="O46" i="1"/>
  <c r="L46" i="1"/>
  <c r="I46" i="1"/>
  <c r="H46" i="1"/>
  <c r="C46" i="1"/>
  <c r="AI45" i="1"/>
  <c r="AG45" i="1"/>
  <c r="AF45" i="1"/>
  <c r="AE45" i="1"/>
  <c r="W45" i="1"/>
  <c r="R45" i="1" s="1"/>
  <c r="T45" i="1"/>
  <c r="J45" i="1" s="1"/>
  <c r="Q45" i="1"/>
  <c r="P45" i="1"/>
  <c r="O45" i="1"/>
  <c r="L45" i="1"/>
  <c r="I45" i="1"/>
  <c r="H45" i="1"/>
  <c r="C45" i="1"/>
  <c r="AI44" i="1"/>
  <c r="AG44" i="1"/>
  <c r="AF44" i="1"/>
  <c r="AE44" i="1"/>
  <c r="Q44" i="1"/>
  <c r="P44" i="1"/>
  <c r="W44" i="1" s="1"/>
  <c r="R44" i="1" s="1"/>
  <c r="T44" i="1" s="1"/>
  <c r="O44" i="1"/>
  <c r="L44" i="1"/>
  <c r="I44" i="1"/>
  <c r="H44" i="1"/>
  <c r="C44" i="1"/>
  <c r="AI43" i="1"/>
  <c r="AG43" i="1"/>
  <c r="AF43" i="1"/>
  <c r="AE43" i="1"/>
  <c r="R43" i="1"/>
  <c r="T43" i="1" s="1"/>
  <c r="Q43" i="1"/>
  <c r="O43" i="1"/>
  <c r="P43" i="1" s="1"/>
  <c r="W43" i="1" s="1"/>
  <c r="L43" i="1"/>
  <c r="I43" i="1"/>
  <c r="H43" i="1"/>
  <c r="C43" i="1"/>
  <c r="AI42" i="1"/>
  <c r="AG42" i="1"/>
  <c r="AF42" i="1"/>
  <c r="AE42" i="1"/>
  <c r="W42" i="1"/>
  <c r="R42" i="1" s="1"/>
  <c r="T42" i="1" s="1"/>
  <c r="Q42" i="1"/>
  <c r="O42" i="1"/>
  <c r="P42" i="1" s="1"/>
  <c r="L42" i="1"/>
  <c r="I42" i="1"/>
  <c r="H42" i="1"/>
  <c r="C42" i="1"/>
  <c r="AI41" i="1"/>
  <c r="AG41" i="1"/>
  <c r="AF41" i="1"/>
  <c r="AE41" i="1"/>
  <c r="Q41" i="1"/>
  <c r="O41" i="1"/>
  <c r="P41" i="1" s="1"/>
  <c r="L41" i="1"/>
  <c r="I41" i="1"/>
  <c r="H41" i="1"/>
  <c r="C41" i="1"/>
  <c r="AI40" i="1"/>
  <c r="AG40" i="1"/>
  <c r="AF40" i="1"/>
  <c r="AE40" i="1"/>
  <c r="Q40" i="1"/>
  <c r="O40" i="1"/>
  <c r="P40" i="1" s="1"/>
  <c r="L40" i="1"/>
  <c r="I40" i="1"/>
  <c r="H40" i="1"/>
  <c r="C40" i="1"/>
  <c r="AI39" i="1"/>
  <c r="AG39" i="1"/>
  <c r="AF39" i="1"/>
  <c r="AE39" i="1"/>
  <c r="Q39" i="1"/>
  <c r="P39" i="1"/>
  <c r="O39" i="1"/>
  <c r="L39" i="1"/>
  <c r="I39" i="1"/>
  <c r="H39" i="1"/>
  <c r="C39" i="1"/>
  <c r="AI38" i="1"/>
  <c r="AG38" i="1"/>
  <c r="AF38" i="1"/>
  <c r="AE38" i="1"/>
  <c r="Q38" i="1"/>
  <c r="O38" i="1"/>
  <c r="P38" i="1" s="1"/>
  <c r="L38" i="1"/>
  <c r="I38" i="1"/>
  <c r="H38" i="1"/>
  <c r="C38" i="1"/>
  <c r="AI37" i="1"/>
  <c r="AG37" i="1"/>
  <c r="AF37" i="1"/>
  <c r="AE37" i="1"/>
  <c r="Q37" i="1"/>
  <c r="O37" i="1"/>
  <c r="P37" i="1" s="1"/>
  <c r="L37" i="1"/>
  <c r="I37" i="1"/>
  <c r="H37" i="1"/>
  <c r="C37" i="1"/>
  <c r="AI36" i="1"/>
  <c r="AG36" i="1"/>
  <c r="AF36" i="1"/>
  <c r="AE36" i="1"/>
  <c r="Q36" i="1"/>
  <c r="O36" i="1"/>
  <c r="P36" i="1" s="1"/>
  <c r="L36" i="1"/>
  <c r="I36" i="1"/>
  <c r="H36" i="1"/>
  <c r="C36" i="1"/>
  <c r="AI35" i="1"/>
  <c r="AG35" i="1"/>
  <c r="AF35" i="1"/>
  <c r="AE35" i="1"/>
  <c r="Q35" i="1"/>
  <c r="P35" i="1"/>
  <c r="O35" i="1"/>
  <c r="L35" i="1"/>
  <c r="I35" i="1"/>
  <c r="H35" i="1"/>
  <c r="C35" i="1"/>
  <c r="AI34" i="1"/>
  <c r="AG34" i="1"/>
  <c r="AF34" i="1"/>
  <c r="AE34" i="1"/>
  <c r="Q34" i="1"/>
  <c r="O34" i="1"/>
  <c r="P34" i="1" s="1"/>
  <c r="L34" i="1"/>
  <c r="I34" i="1"/>
  <c r="H34" i="1"/>
  <c r="C34" i="1"/>
  <c r="AI33" i="1"/>
  <c r="AG33" i="1"/>
  <c r="AF33" i="1"/>
  <c r="AE33" i="1"/>
  <c r="Q33" i="1"/>
  <c r="O33" i="1"/>
  <c r="P33" i="1" s="1"/>
  <c r="L33" i="1"/>
  <c r="I33" i="1"/>
  <c r="H33" i="1"/>
  <c r="C33" i="1"/>
  <c r="AI32" i="1"/>
  <c r="AG32" i="1"/>
  <c r="AF32" i="1"/>
  <c r="AE32" i="1"/>
  <c r="Q32" i="1"/>
  <c r="O32" i="1"/>
  <c r="P32" i="1" s="1"/>
  <c r="L32" i="1"/>
  <c r="I32" i="1"/>
  <c r="H32" i="1"/>
  <c r="C32" i="1"/>
  <c r="AI31" i="1"/>
  <c r="AG31" i="1"/>
  <c r="AF31" i="1"/>
  <c r="AE31" i="1"/>
  <c r="Q31" i="1"/>
  <c r="P31" i="1"/>
  <c r="O31" i="1"/>
  <c r="L31" i="1"/>
  <c r="I31" i="1"/>
  <c r="H31" i="1"/>
  <c r="C31" i="1"/>
  <c r="AN30" i="1"/>
  <c r="AI30" i="1"/>
  <c r="AG30" i="1"/>
  <c r="AF30" i="1"/>
  <c r="AE30" i="1"/>
  <c r="Q30" i="1"/>
  <c r="P30" i="1"/>
  <c r="O30" i="1"/>
  <c r="L30" i="1"/>
  <c r="I30" i="1"/>
  <c r="H30" i="1"/>
  <c r="C30" i="1"/>
  <c r="AI29" i="1"/>
  <c r="AG29" i="1"/>
  <c r="AF29" i="1"/>
  <c r="AE29" i="1"/>
  <c r="Q29" i="1"/>
  <c r="O29" i="1"/>
  <c r="P29" i="1" s="1"/>
  <c r="L29" i="1"/>
  <c r="I29" i="1"/>
  <c r="H29" i="1"/>
  <c r="C29" i="1"/>
  <c r="AI28" i="1"/>
  <c r="AG28" i="1"/>
  <c r="AF28" i="1"/>
  <c r="AE28" i="1"/>
  <c r="Q28" i="1"/>
  <c r="O28" i="1"/>
  <c r="P28" i="1" s="1"/>
  <c r="L28" i="1"/>
  <c r="I28" i="1"/>
  <c r="H28" i="1"/>
  <c r="C28" i="1"/>
  <c r="AI27" i="1"/>
  <c r="AG27" i="1"/>
  <c r="AF27" i="1"/>
  <c r="AE27" i="1"/>
  <c r="Q27" i="1"/>
  <c r="O27" i="1"/>
  <c r="P27" i="1" s="1"/>
  <c r="L27" i="1"/>
  <c r="I27" i="1"/>
  <c r="H27" i="1"/>
  <c r="C27" i="1"/>
  <c r="AI26" i="1"/>
  <c r="AG26" i="1"/>
  <c r="AF26" i="1"/>
  <c r="AE26" i="1"/>
  <c r="Q26" i="1"/>
  <c r="P26" i="1"/>
  <c r="O26" i="1"/>
  <c r="L26" i="1"/>
  <c r="I26" i="1"/>
  <c r="H26" i="1"/>
  <c r="C26" i="1"/>
  <c r="AI25" i="1"/>
  <c r="AG25" i="1"/>
  <c r="AF25" i="1"/>
  <c r="AE25" i="1"/>
  <c r="Q25" i="1"/>
  <c r="O25" i="1"/>
  <c r="P25" i="1" s="1"/>
  <c r="L25" i="1"/>
  <c r="I25" i="1"/>
  <c r="H25" i="1"/>
  <c r="C25" i="1"/>
  <c r="AI24" i="1"/>
  <c r="AG24" i="1"/>
  <c r="AF24" i="1"/>
  <c r="AE24" i="1"/>
  <c r="Q24" i="1"/>
  <c r="O24" i="1"/>
  <c r="P24" i="1" s="1"/>
  <c r="L24" i="1"/>
  <c r="I24" i="1"/>
  <c r="H24" i="1"/>
  <c r="C24" i="1"/>
  <c r="AI23" i="1"/>
  <c r="AG23" i="1"/>
  <c r="AF23" i="1"/>
  <c r="AE23" i="1"/>
  <c r="W23" i="1"/>
  <c r="R23" i="1" s="1"/>
  <c r="T23" i="1" s="1"/>
  <c r="Q23" i="1"/>
  <c r="P23" i="1"/>
  <c r="O23" i="1"/>
  <c r="L23" i="1"/>
  <c r="I23" i="1"/>
  <c r="H23" i="1"/>
  <c r="C23" i="1"/>
  <c r="AI22" i="1"/>
  <c r="AG22" i="1"/>
  <c r="AF22" i="1"/>
  <c r="Q22" i="1"/>
  <c r="P22" i="1"/>
  <c r="O22" i="1"/>
  <c r="L22" i="1"/>
  <c r="I22" i="1"/>
  <c r="H22" i="1"/>
  <c r="C22" i="1"/>
  <c r="AI21" i="1"/>
  <c r="AG21" i="1"/>
  <c r="AF21" i="1"/>
  <c r="Q21" i="1"/>
  <c r="O21" i="1"/>
  <c r="P21" i="1" s="1"/>
  <c r="L21" i="1"/>
  <c r="I21" i="1"/>
  <c r="H21" i="1"/>
  <c r="C21" i="1"/>
  <c r="AI20" i="1"/>
  <c r="AG20" i="1"/>
  <c r="AF20" i="1"/>
  <c r="Q20" i="1"/>
  <c r="O20" i="1"/>
  <c r="P20" i="1" s="1"/>
  <c r="L20" i="1"/>
  <c r="I20" i="1"/>
  <c r="H20" i="1"/>
  <c r="C20" i="1"/>
  <c r="AI19" i="1"/>
  <c r="AG19" i="1"/>
  <c r="AF19" i="1"/>
  <c r="Q19" i="1"/>
  <c r="O19" i="1"/>
  <c r="P19" i="1" s="1"/>
  <c r="L19" i="1"/>
  <c r="I19" i="1"/>
  <c r="H19" i="1"/>
  <c r="C19" i="1"/>
  <c r="AI18" i="1"/>
  <c r="AG18" i="1"/>
  <c r="AF18" i="1"/>
  <c r="Q18" i="1"/>
  <c r="P18" i="1"/>
  <c r="O18" i="1"/>
  <c r="L18" i="1"/>
  <c r="I18" i="1"/>
  <c r="H18" i="1"/>
  <c r="C18" i="1"/>
  <c r="AI17" i="1"/>
  <c r="AG17" i="1"/>
  <c r="AF17" i="1"/>
  <c r="Q17" i="1"/>
  <c r="O17" i="1"/>
  <c r="P17" i="1" s="1"/>
  <c r="L17" i="1"/>
  <c r="I17" i="1"/>
  <c r="H17" i="1"/>
  <c r="C17" i="1"/>
  <c r="AN16" i="1"/>
  <c r="AI16" i="1"/>
  <c r="AG16" i="1"/>
  <c r="AF16" i="1"/>
  <c r="Q16" i="1"/>
  <c r="O16" i="1"/>
  <c r="P16" i="1" s="1"/>
  <c r="L16" i="1"/>
  <c r="I16" i="1"/>
  <c r="H16" i="1"/>
  <c r="C16" i="1"/>
  <c r="AI15" i="1"/>
  <c r="AG15" i="1"/>
  <c r="AF15" i="1"/>
  <c r="AE15" i="1"/>
  <c r="Q15" i="1"/>
  <c r="O15" i="1"/>
  <c r="P15" i="1" s="1"/>
  <c r="L15" i="1"/>
  <c r="I15" i="1"/>
  <c r="H15" i="1"/>
  <c r="C15" i="1"/>
  <c r="AI14" i="1"/>
  <c r="AG14" i="1"/>
  <c r="AF14" i="1"/>
  <c r="AE14" i="1"/>
  <c r="Q14" i="1"/>
  <c r="O14" i="1"/>
  <c r="P14" i="1" s="1"/>
  <c r="L14" i="1"/>
  <c r="I14" i="1"/>
  <c r="H14" i="1"/>
  <c r="C14" i="1"/>
  <c r="AI13" i="1"/>
  <c r="AG13" i="1"/>
  <c r="AF13" i="1"/>
  <c r="AE13" i="1"/>
  <c r="Q13" i="1"/>
  <c r="P13" i="1"/>
  <c r="O13" i="1"/>
  <c r="L13" i="1"/>
  <c r="I13" i="1"/>
  <c r="H13" i="1"/>
  <c r="C13" i="1"/>
  <c r="AI12" i="1"/>
  <c r="AG12" i="1"/>
  <c r="AF12" i="1"/>
  <c r="AE12" i="1"/>
  <c r="Q12" i="1"/>
  <c r="O12" i="1"/>
  <c r="P12" i="1" s="1"/>
  <c r="L12" i="1"/>
  <c r="I12" i="1"/>
  <c r="H12" i="1"/>
  <c r="C12" i="1"/>
  <c r="AI11" i="1"/>
  <c r="AG11" i="1"/>
  <c r="AF11" i="1"/>
  <c r="AE11" i="1"/>
  <c r="Q11" i="1"/>
  <c r="O11" i="1"/>
  <c r="P11" i="1" s="1"/>
  <c r="L11" i="1"/>
  <c r="I11" i="1"/>
  <c r="H11" i="1"/>
  <c r="C11" i="1"/>
  <c r="AI10" i="1"/>
  <c r="AG10" i="1"/>
  <c r="AF10" i="1"/>
  <c r="AE10" i="1"/>
  <c r="Q10" i="1"/>
  <c r="O10" i="1"/>
  <c r="P10" i="1" s="1"/>
  <c r="L10" i="1"/>
  <c r="I10" i="1"/>
  <c r="H10" i="1"/>
  <c r="C10" i="1"/>
  <c r="AI9" i="1"/>
  <c r="AG9" i="1"/>
  <c r="AF9" i="1"/>
  <c r="AE9" i="1"/>
  <c r="Q9" i="1"/>
  <c r="P9" i="1"/>
  <c r="O9" i="1"/>
  <c r="L9" i="1"/>
  <c r="I9" i="1"/>
  <c r="H9" i="1"/>
  <c r="C9" i="1"/>
  <c r="AI8" i="1"/>
  <c r="AG8" i="1"/>
  <c r="AF8" i="1"/>
  <c r="AE8" i="1"/>
  <c r="Q8" i="1"/>
  <c r="O8" i="1"/>
  <c r="P8" i="1" s="1"/>
  <c r="L8" i="1"/>
  <c r="I8" i="1"/>
  <c r="H8" i="1"/>
  <c r="C8" i="1"/>
  <c r="AI7" i="1"/>
  <c r="AG7" i="1"/>
  <c r="AF7" i="1"/>
  <c r="AE7" i="1"/>
  <c r="Q7" i="1"/>
  <c r="O7" i="1"/>
  <c r="P7" i="1" s="1"/>
  <c r="L7" i="1"/>
  <c r="I7" i="1"/>
  <c r="H7" i="1"/>
  <c r="C7" i="1"/>
  <c r="AI6" i="1"/>
  <c r="AG6" i="1"/>
  <c r="AF6" i="1"/>
  <c r="AE6" i="1"/>
  <c r="Q6" i="1"/>
  <c r="O6" i="1"/>
  <c r="P6" i="1" s="1"/>
  <c r="L6" i="1"/>
  <c r="I6" i="1"/>
  <c r="H6" i="1"/>
  <c r="C6" i="1"/>
  <c r="AI5" i="1"/>
  <c r="AG5" i="1"/>
  <c r="AF5" i="1"/>
  <c r="AE5" i="1"/>
  <c r="Q5" i="1"/>
  <c r="P5" i="1"/>
  <c r="O5" i="1"/>
  <c r="L5" i="1"/>
  <c r="I5" i="1"/>
  <c r="H5" i="1"/>
  <c r="C5" i="1"/>
  <c r="AI4" i="1"/>
  <c r="AG4" i="1"/>
  <c r="AF4" i="1"/>
  <c r="AE4" i="1"/>
  <c r="Q4" i="1"/>
  <c r="O4" i="1"/>
  <c r="P4" i="1" s="1"/>
  <c r="L4" i="1"/>
  <c r="I4" i="1"/>
  <c r="H4" i="1"/>
  <c r="C4" i="1"/>
  <c r="AI3" i="1"/>
  <c r="AG3" i="1"/>
  <c r="AF3" i="1"/>
  <c r="AE3" i="1"/>
  <c r="Q3" i="1"/>
  <c r="O3" i="1"/>
  <c r="P3" i="1" s="1"/>
  <c r="L3" i="1"/>
  <c r="I3" i="1"/>
  <c r="H3" i="1"/>
  <c r="C3" i="1"/>
  <c r="AI2" i="1"/>
  <c r="AG2" i="1"/>
  <c r="AF2" i="1"/>
  <c r="AE2" i="1"/>
  <c r="Q2" i="1"/>
  <c r="O2" i="1"/>
  <c r="P2" i="1" s="1"/>
  <c r="L2" i="1"/>
  <c r="I2" i="1"/>
  <c r="H2" i="1"/>
  <c r="C2" i="1"/>
  <c r="W3" i="1" l="1"/>
  <c r="R3" i="1" s="1"/>
  <c r="T3" i="1" s="1"/>
  <c r="W7" i="1"/>
  <c r="R7" i="1" s="1"/>
  <c r="T7" i="1" s="1"/>
  <c r="W14" i="1"/>
  <c r="R14" i="1" s="1"/>
  <c r="T14" i="1" s="1"/>
  <c r="W33" i="1"/>
  <c r="R33" i="1" s="1"/>
  <c r="T33" i="1" s="1"/>
  <c r="W40" i="1"/>
  <c r="R40" i="1" s="1"/>
  <c r="T40" i="1" s="1"/>
  <c r="X43" i="1"/>
  <c r="J74" i="1"/>
  <c r="V74" i="1"/>
  <c r="X74" i="1" s="1"/>
  <c r="J61" i="1"/>
  <c r="V61" i="1"/>
  <c r="X61" i="1" s="1"/>
  <c r="W4" i="1"/>
  <c r="R4" i="1" s="1"/>
  <c r="T4" i="1" s="1"/>
  <c r="W11" i="1"/>
  <c r="R11" i="1" s="1"/>
  <c r="T11" i="1" s="1"/>
  <c r="W19" i="1"/>
  <c r="R19" i="1" s="1"/>
  <c r="T19" i="1" s="1"/>
  <c r="V23" i="1"/>
  <c r="X23" i="1" s="1"/>
  <c r="J23" i="1"/>
  <c r="W27" i="1"/>
  <c r="R27" i="1" s="1"/>
  <c r="T27" i="1" s="1"/>
  <c r="W37" i="1"/>
  <c r="R37" i="1" s="1"/>
  <c r="T37" i="1" s="1"/>
  <c r="J43" i="1"/>
  <c r="V43" i="1"/>
  <c r="J53" i="1"/>
  <c r="V53" i="1"/>
  <c r="X53" i="1" s="1"/>
  <c r="J66" i="1"/>
  <c r="V66" i="1"/>
  <c r="X66" i="1" s="1"/>
  <c r="J42" i="1"/>
  <c r="V42" i="1"/>
  <c r="X42" i="1" s="1"/>
  <c r="W8" i="1"/>
  <c r="R8" i="1" s="1"/>
  <c r="T8" i="1" s="1"/>
  <c r="W15" i="1"/>
  <c r="R15" i="1" s="1"/>
  <c r="T15" i="1" s="1"/>
  <c r="W20" i="1"/>
  <c r="R20" i="1" s="1"/>
  <c r="T20" i="1" s="1"/>
  <c r="W24" i="1"/>
  <c r="R24" i="1" s="1"/>
  <c r="T24" i="1" s="1"/>
  <c r="W34" i="1"/>
  <c r="R34" i="1" s="1"/>
  <c r="T34" i="1" s="1"/>
  <c r="W41" i="1"/>
  <c r="R41" i="1" s="1"/>
  <c r="T41" i="1" s="1"/>
  <c r="W32" i="1"/>
  <c r="R32" i="1" s="1"/>
  <c r="T32" i="1" s="1"/>
  <c r="W12" i="1"/>
  <c r="R12" i="1" s="1"/>
  <c r="T12" i="1" s="1"/>
  <c r="W21" i="1"/>
  <c r="R21" i="1" s="1"/>
  <c r="T21" i="1" s="1"/>
  <c r="W28" i="1"/>
  <c r="R28" i="1" s="1"/>
  <c r="T28" i="1" s="1"/>
  <c r="W38" i="1"/>
  <c r="R38" i="1" s="1"/>
  <c r="T38" i="1" s="1"/>
  <c r="W65" i="1"/>
  <c r="R65" i="1" s="1"/>
  <c r="T65" i="1" s="1"/>
  <c r="W6" i="1"/>
  <c r="R6" i="1" s="1"/>
  <c r="T6" i="1" s="1"/>
  <c r="W36" i="1"/>
  <c r="R36" i="1" s="1"/>
  <c r="T36" i="1" s="1"/>
  <c r="W16" i="1"/>
  <c r="R16" i="1" s="1"/>
  <c r="T16" i="1" s="1"/>
  <c r="W25" i="1"/>
  <c r="R25" i="1" s="1"/>
  <c r="T25" i="1" s="1"/>
  <c r="W17" i="1"/>
  <c r="R17" i="1" s="1"/>
  <c r="T17" i="1" s="1"/>
  <c r="W10" i="1"/>
  <c r="R10" i="1" s="1"/>
  <c r="T10" i="1" s="1"/>
  <c r="W2" i="1"/>
  <c r="R2" i="1" s="1"/>
  <c r="T2" i="1" s="1"/>
  <c r="W29" i="1"/>
  <c r="R29" i="1" s="1"/>
  <c r="T29" i="1" s="1"/>
  <c r="AA47" i="1"/>
  <c r="Y47" i="1"/>
  <c r="W5" i="1"/>
  <c r="R5" i="1" s="1"/>
  <c r="T5" i="1" s="1"/>
  <c r="W13" i="1"/>
  <c r="R13" i="1" s="1"/>
  <c r="T13" i="1" s="1"/>
  <c r="W18" i="1"/>
  <c r="R18" i="1" s="1"/>
  <c r="T18" i="1" s="1"/>
  <c r="W26" i="1"/>
  <c r="R26" i="1" s="1"/>
  <c r="T26" i="1" s="1"/>
  <c r="W31" i="1"/>
  <c r="R31" i="1" s="1"/>
  <c r="T31" i="1" s="1"/>
  <c r="W39" i="1"/>
  <c r="R39" i="1" s="1"/>
  <c r="T39" i="1" s="1"/>
  <c r="V45" i="1"/>
  <c r="X45" i="1" s="1"/>
  <c r="J47" i="1"/>
  <c r="W54" i="1"/>
  <c r="R54" i="1" s="1"/>
  <c r="T54" i="1" s="1"/>
  <c r="W55" i="1"/>
  <c r="R55" i="1" s="1"/>
  <c r="T55" i="1" s="1"/>
  <c r="W71" i="1"/>
  <c r="R71" i="1" s="1"/>
  <c r="T71" i="1" s="1"/>
  <c r="J73" i="1"/>
  <c r="V73" i="1"/>
  <c r="X73" i="1" s="1"/>
  <c r="J106" i="1"/>
  <c r="V106" i="1"/>
  <c r="X106" i="1" s="1"/>
  <c r="W69" i="1"/>
  <c r="R69" i="1" s="1"/>
  <c r="T69" i="1" s="1"/>
  <c r="W241" i="1"/>
  <c r="R241" i="1" s="1"/>
  <c r="T241" i="1" s="1"/>
  <c r="J52" i="1"/>
  <c r="V52" i="1"/>
  <c r="X52" i="1" s="1"/>
  <c r="X58" i="1"/>
  <c r="J68" i="1"/>
  <c r="W94" i="1"/>
  <c r="R94" i="1" s="1"/>
  <c r="T94" i="1" s="1"/>
  <c r="W64" i="1"/>
  <c r="R64" i="1" s="1"/>
  <c r="T64" i="1" s="1"/>
  <c r="W67" i="1"/>
  <c r="R67" i="1" s="1"/>
  <c r="T67" i="1" s="1"/>
  <c r="V99" i="1"/>
  <c r="J99" i="1"/>
  <c r="W51" i="1"/>
  <c r="R51" i="1" s="1"/>
  <c r="T51" i="1" s="1"/>
  <c r="W56" i="1"/>
  <c r="R56" i="1" s="1"/>
  <c r="T56" i="1" s="1"/>
  <c r="AA75" i="1"/>
  <c r="Y75" i="1"/>
  <c r="W125" i="1"/>
  <c r="R125" i="1" s="1"/>
  <c r="T125" i="1" s="1"/>
  <c r="W46" i="1"/>
  <c r="R46" i="1" s="1"/>
  <c r="T46" i="1" s="1"/>
  <c r="W49" i="1"/>
  <c r="R49" i="1" s="1"/>
  <c r="T49" i="1" s="1"/>
  <c r="J44" i="1"/>
  <c r="V44" i="1"/>
  <c r="W57" i="1"/>
  <c r="R57" i="1" s="1"/>
  <c r="T57" i="1" s="1"/>
  <c r="W9" i="1"/>
  <c r="R9" i="1" s="1"/>
  <c r="T9" i="1" s="1"/>
  <c r="W22" i="1"/>
  <c r="R22" i="1" s="1"/>
  <c r="T22" i="1" s="1"/>
  <c r="W30" i="1"/>
  <c r="R30" i="1" s="1"/>
  <c r="T30" i="1" s="1"/>
  <c r="W35" i="1"/>
  <c r="R35" i="1" s="1"/>
  <c r="T35" i="1" s="1"/>
  <c r="W62" i="1"/>
  <c r="R62" i="1" s="1"/>
  <c r="T62" i="1" s="1"/>
  <c r="W70" i="1"/>
  <c r="R70" i="1" s="1"/>
  <c r="T70" i="1" s="1"/>
  <c r="W72" i="1"/>
  <c r="R72" i="1" s="1"/>
  <c r="T72" i="1" s="1"/>
  <c r="J76" i="1"/>
  <c r="V76" i="1"/>
  <c r="X44" i="1"/>
  <c r="X50" i="1"/>
  <c r="J60" i="1"/>
  <c r="V60" i="1"/>
  <c r="X60" i="1" s="1"/>
  <c r="W96" i="1"/>
  <c r="R96" i="1" s="1"/>
  <c r="T96" i="1" s="1"/>
  <c r="W48" i="1"/>
  <c r="R48" i="1" s="1"/>
  <c r="T48" i="1" s="1"/>
  <c r="W59" i="1"/>
  <c r="R59" i="1" s="1"/>
  <c r="T59" i="1" s="1"/>
  <c r="AA63" i="1"/>
  <c r="Y63" i="1"/>
  <c r="AA68" i="1"/>
  <c r="Y68" i="1"/>
  <c r="W85" i="1"/>
  <c r="R85" i="1" s="1"/>
  <c r="T85" i="1" s="1"/>
  <c r="AA78" i="1"/>
  <c r="Y78" i="1"/>
  <c r="W98" i="1"/>
  <c r="R98" i="1" s="1"/>
  <c r="T98" i="1" s="1"/>
  <c r="W100" i="1"/>
  <c r="R100" i="1" s="1"/>
  <c r="T100" i="1" s="1"/>
  <c r="J110" i="1"/>
  <c r="V110" i="1"/>
  <c r="X110" i="1" s="1"/>
  <c r="Y112" i="1"/>
  <c r="AA112" i="1" s="1"/>
  <c r="W84" i="1"/>
  <c r="R84" i="1" s="1"/>
  <c r="T84" i="1" s="1"/>
  <c r="W102" i="1"/>
  <c r="R102" i="1" s="1"/>
  <c r="T102" i="1" s="1"/>
  <c r="J104" i="1"/>
  <c r="V104" i="1"/>
  <c r="X104" i="1" s="1"/>
  <c r="W129" i="1"/>
  <c r="R129" i="1" s="1"/>
  <c r="T129" i="1" s="1"/>
  <c r="W138" i="1"/>
  <c r="R138" i="1" s="1"/>
  <c r="T138" i="1" s="1"/>
  <c r="W77" i="1"/>
  <c r="R77" i="1" s="1"/>
  <c r="T77" i="1" s="1"/>
  <c r="W80" i="1"/>
  <c r="R80" i="1" s="1"/>
  <c r="T80" i="1" s="1"/>
  <c r="W82" i="1"/>
  <c r="R82" i="1" s="1"/>
  <c r="T82" i="1" s="1"/>
  <c r="J87" i="1"/>
  <c r="V87" i="1"/>
  <c r="X87" i="1" s="1"/>
  <c r="W89" i="1"/>
  <c r="R89" i="1" s="1"/>
  <c r="T89" i="1" s="1"/>
  <c r="J91" i="1"/>
  <c r="V91" i="1"/>
  <c r="X91" i="1" s="1"/>
  <c r="W97" i="1"/>
  <c r="R97" i="1" s="1"/>
  <c r="T97" i="1" s="1"/>
  <c r="J109" i="1"/>
  <c r="V109" i="1"/>
  <c r="Y118" i="1"/>
  <c r="AA118" i="1" s="1"/>
  <c r="W93" i="1"/>
  <c r="R93" i="1" s="1"/>
  <c r="T93" i="1" s="1"/>
  <c r="W95" i="1"/>
  <c r="R95" i="1" s="1"/>
  <c r="T95" i="1" s="1"/>
  <c r="W108" i="1"/>
  <c r="R108" i="1" s="1"/>
  <c r="T108" i="1" s="1"/>
  <c r="Y86" i="1"/>
  <c r="AA86" i="1" s="1"/>
  <c r="W105" i="1"/>
  <c r="R105" i="1" s="1"/>
  <c r="T105" i="1" s="1"/>
  <c r="W107" i="1"/>
  <c r="R107" i="1" s="1"/>
  <c r="T107" i="1" s="1"/>
  <c r="J144" i="1"/>
  <c r="V144" i="1"/>
  <c r="X144" i="1" s="1"/>
  <c r="X76" i="1"/>
  <c r="J78" i="1"/>
  <c r="W92" i="1"/>
  <c r="R92" i="1" s="1"/>
  <c r="T92" i="1" s="1"/>
  <c r="X99" i="1"/>
  <c r="W101" i="1"/>
  <c r="R101" i="1" s="1"/>
  <c r="T101" i="1" s="1"/>
  <c r="W103" i="1"/>
  <c r="R103" i="1" s="1"/>
  <c r="T103" i="1" s="1"/>
  <c r="W136" i="1"/>
  <c r="R136" i="1" s="1"/>
  <c r="T136" i="1" s="1"/>
  <c r="Y142" i="1"/>
  <c r="AA142" i="1" s="1"/>
  <c r="J79" i="1"/>
  <c r="V79" i="1"/>
  <c r="X79" i="1" s="1"/>
  <c r="W81" i="1"/>
  <c r="R81" i="1" s="1"/>
  <c r="T81" i="1" s="1"/>
  <c r="J83" i="1"/>
  <c r="V83" i="1"/>
  <c r="X83" i="1" s="1"/>
  <c r="W88" i="1"/>
  <c r="R88" i="1" s="1"/>
  <c r="T88" i="1" s="1"/>
  <c r="W90" i="1"/>
  <c r="R90" i="1" s="1"/>
  <c r="T90" i="1" s="1"/>
  <c r="J116" i="1"/>
  <c r="V116" i="1"/>
  <c r="X116" i="1" s="1"/>
  <c r="J120" i="1"/>
  <c r="V120" i="1"/>
  <c r="V123" i="1"/>
  <c r="W127" i="1"/>
  <c r="R127" i="1" s="1"/>
  <c r="T127" i="1" s="1"/>
  <c r="W153" i="1"/>
  <c r="R153" i="1" s="1"/>
  <c r="T153" i="1" s="1"/>
  <c r="W158" i="1"/>
  <c r="R158" i="1" s="1"/>
  <c r="T158" i="1" s="1"/>
  <c r="W164" i="1"/>
  <c r="R164" i="1" s="1"/>
  <c r="T164" i="1" s="1"/>
  <c r="W122" i="1"/>
  <c r="R122" i="1" s="1"/>
  <c r="T122" i="1" s="1"/>
  <c r="AB131" i="1"/>
  <c r="AC131" i="1" s="1"/>
  <c r="AD131" i="1" s="1"/>
  <c r="Y131" i="1"/>
  <c r="AA131" i="1" s="1"/>
  <c r="W145" i="1"/>
  <c r="R145" i="1" s="1"/>
  <c r="T145" i="1" s="1"/>
  <c r="W150" i="1"/>
  <c r="R150" i="1" s="1"/>
  <c r="T150" i="1" s="1"/>
  <c r="W117" i="1"/>
  <c r="R117" i="1" s="1"/>
  <c r="T117" i="1" s="1"/>
  <c r="X120" i="1"/>
  <c r="W126" i="1"/>
  <c r="R126" i="1" s="1"/>
  <c r="T126" i="1" s="1"/>
  <c r="J128" i="1"/>
  <c r="J133" i="1"/>
  <c r="V133" i="1"/>
  <c r="W137" i="1"/>
  <c r="R137" i="1" s="1"/>
  <c r="T137" i="1" s="1"/>
  <c r="W148" i="1"/>
  <c r="R148" i="1" s="1"/>
  <c r="T148" i="1" s="1"/>
  <c r="W159" i="1"/>
  <c r="R159" i="1" s="1"/>
  <c r="T159" i="1" s="1"/>
  <c r="Y115" i="1"/>
  <c r="AA115" i="1" s="1"/>
  <c r="W121" i="1"/>
  <c r="R121" i="1" s="1"/>
  <c r="T121" i="1" s="1"/>
  <c r="W124" i="1"/>
  <c r="R124" i="1" s="1"/>
  <c r="T124" i="1" s="1"/>
  <c r="W135" i="1"/>
  <c r="R135" i="1" s="1"/>
  <c r="T135" i="1" s="1"/>
  <c r="V139" i="1"/>
  <c r="X139" i="1" s="1"/>
  <c r="J139" i="1"/>
  <c r="V141" i="1"/>
  <c r="X141" i="1" s="1"/>
  <c r="V143" i="1"/>
  <c r="J143" i="1"/>
  <c r="W169" i="1"/>
  <c r="R169" i="1" s="1"/>
  <c r="T169" i="1" s="1"/>
  <c r="W114" i="1"/>
  <c r="R114" i="1" s="1"/>
  <c r="T114" i="1" s="1"/>
  <c r="W119" i="1"/>
  <c r="R119" i="1" s="1"/>
  <c r="T119" i="1" s="1"/>
  <c r="X128" i="1"/>
  <c r="W130" i="1"/>
  <c r="R130" i="1" s="1"/>
  <c r="T130" i="1" s="1"/>
  <c r="X133" i="1"/>
  <c r="J172" i="1"/>
  <c r="V172" i="1"/>
  <c r="W111" i="1"/>
  <c r="R111" i="1" s="1"/>
  <c r="T111" i="1" s="1"/>
  <c r="W113" i="1"/>
  <c r="R113" i="1" s="1"/>
  <c r="T113" i="1" s="1"/>
  <c r="W134" i="1"/>
  <c r="R134" i="1" s="1"/>
  <c r="T134" i="1" s="1"/>
  <c r="J184" i="1"/>
  <c r="V184" i="1"/>
  <c r="X184" i="1" s="1"/>
  <c r="X109" i="1"/>
  <c r="J115" i="1"/>
  <c r="X123" i="1"/>
  <c r="W132" i="1"/>
  <c r="R132" i="1" s="1"/>
  <c r="T132" i="1" s="1"/>
  <c r="W140" i="1"/>
  <c r="R140" i="1" s="1"/>
  <c r="T140" i="1" s="1"/>
  <c r="J190" i="1"/>
  <c r="V190" i="1"/>
  <c r="W152" i="1"/>
  <c r="R152" i="1" s="1"/>
  <c r="T152" i="1" s="1"/>
  <c r="J201" i="1"/>
  <c r="V201" i="1"/>
  <c r="W147" i="1"/>
  <c r="R147" i="1" s="1"/>
  <c r="T147" i="1" s="1"/>
  <c r="W163" i="1"/>
  <c r="R163" i="1" s="1"/>
  <c r="T163" i="1" s="1"/>
  <c r="W177" i="1"/>
  <c r="R177" i="1" s="1"/>
  <c r="T177" i="1" s="1"/>
  <c r="W173" i="1"/>
  <c r="R173" i="1" s="1"/>
  <c r="T173" i="1" s="1"/>
  <c r="J193" i="1"/>
  <c r="V193" i="1"/>
  <c r="X193" i="1" s="1"/>
  <c r="X143" i="1"/>
  <c r="J161" i="1"/>
  <c r="V161" i="1"/>
  <c r="W165" i="1"/>
  <c r="R165" i="1" s="1"/>
  <c r="T165" i="1" s="1"/>
  <c r="Y168" i="1"/>
  <c r="AA168" i="1" s="1"/>
  <c r="W170" i="1"/>
  <c r="R170" i="1" s="1"/>
  <c r="T170" i="1" s="1"/>
  <c r="V197" i="1"/>
  <c r="J197" i="1"/>
  <c r="W221" i="1"/>
  <c r="R221" i="1" s="1"/>
  <c r="T221" i="1" s="1"/>
  <c r="W224" i="1"/>
  <c r="R224" i="1" s="1"/>
  <c r="T224" i="1" s="1"/>
  <c r="W160" i="1"/>
  <c r="R160" i="1" s="1"/>
  <c r="T160" i="1" s="1"/>
  <c r="W166" i="1"/>
  <c r="R166" i="1" s="1"/>
  <c r="T166" i="1" s="1"/>
  <c r="V167" i="1"/>
  <c r="X167" i="1" s="1"/>
  <c r="J167" i="1"/>
  <c r="AA175" i="1"/>
  <c r="Y175" i="1"/>
  <c r="V179" i="1"/>
  <c r="J179" i="1"/>
  <c r="W185" i="1"/>
  <c r="R185" i="1" s="1"/>
  <c r="T185" i="1" s="1"/>
  <c r="W155" i="1"/>
  <c r="R155" i="1" s="1"/>
  <c r="T155" i="1" s="1"/>
  <c r="W156" i="1"/>
  <c r="R156" i="1" s="1"/>
  <c r="T156" i="1" s="1"/>
  <c r="X161" i="1"/>
  <c r="J168" i="1"/>
  <c r="J200" i="1"/>
  <c r="V200" i="1"/>
  <c r="X200" i="1" s="1"/>
  <c r="J142" i="1"/>
  <c r="W151" i="1"/>
  <c r="R151" i="1" s="1"/>
  <c r="T151" i="1" s="1"/>
  <c r="J176" i="1"/>
  <c r="V176" i="1"/>
  <c r="X176" i="1" s="1"/>
  <c r="W194" i="1"/>
  <c r="R194" i="1" s="1"/>
  <c r="T194" i="1" s="1"/>
  <c r="W146" i="1"/>
  <c r="R146" i="1" s="1"/>
  <c r="T146" i="1" s="1"/>
  <c r="W154" i="1"/>
  <c r="R154" i="1" s="1"/>
  <c r="T154" i="1" s="1"/>
  <c r="W162" i="1"/>
  <c r="R162" i="1" s="1"/>
  <c r="T162" i="1" s="1"/>
  <c r="X172" i="1"/>
  <c r="W174" i="1"/>
  <c r="R174" i="1" s="1"/>
  <c r="T174" i="1" s="1"/>
  <c r="W181" i="1"/>
  <c r="R181" i="1" s="1"/>
  <c r="T181" i="1" s="1"/>
  <c r="W182" i="1"/>
  <c r="R182" i="1" s="1"/>
  <c r="T182" i="1" s="1"/>
  <c r="V196" i="1"/>
  <c r="J196" i="1"/>
  <c r="W204" i="1"/>
  <c r="R204" i="1" s="1"/>
  <c r="T204" i="1" s="1"/>
  <c r="W149" i="1"/>
  <c r="R149" i="1" s="1"/>
  <c r="T149" i="1" s="1"/>
  <c r="W157" i="1"/>
  <c r="R157" i="1" s="1"/>
  <c r="T157" i="1" s="1"/>
  <c r="J205" i="1"/>
  <c r="W208" i="1"/>
  <c r="R208" i="1" s="1"/>
  <c r="T208" i="1" s="1"/>
  <c r="V222" i="1"/>
  <c r="X222" i="1" s="1"/>
  <c r="J222" i="1"/>
  <c r="Y183" i="1"/>
  <c r="AA183" i="1" s="1"/>
  <c r="W187" i="1"/>
  <c r="R187" i="1" s="1"/>
  <c r="T187" i="1" s="1"/>
  <c r="W212" i="1"/>
  <c r="R212" i="1" s="1"/>
  <c r="T212" i="1" s="1"/>
  <c r="X179" i="1"/>
  <c r="J180" i="1"/>
  <c r="V180" i="1"/>
  <c r="W186" i="1"/>
  <c r="R186" i="1" s="1"/>
  <c r="T186" i="1" s="1"/>
  <c r="W189" i="1"/>
  <c r="R189" i="1" s="1"/>
  <c r="T189" i="1" s="1"/>
  <c r="W192" i="1"/>
  <c r="R192" i="1" s="1"/>
  <c r="T192" i="1" s="1"/>
  <c r="Y205" i="1"/>
  <c r="AA205" i="1" s="1"/>
  <c r="W226" i="1"/>
  <c r="R226" i="1" s="1"/>
  <c r="T226" i="1" s="1"/>
  <c r="X178" i="1"/>
  <c r="W171" i="1"/>
  <c r="R171" i="1" s="1"/>
  <c r="T171" i="1" s="1"/>
  <c r="X180" i="1"/>
  <c r="X197" i="1"/>
  <c r="W202" i="1"/>
  <c r="R202" i="1" s="1"/>
  <c r="T202" i="1" s="1"/>
  <c r="W207" i="1"/>
  <c r="R207" i="1" s="1"/>
  <c r="T207" i="1" s="1"/>
  <c r="W195" i="1"/>
  <c r="R195" i="1" s="1"/>
  <c r="T195" i="1" s="1"/>
  <c r="X196" i="1"/>
  <c r="X201" i="1"/>
  <c r="X214" i="1"/>
  <c r="W215" i="1"/>
  <c r="R215" i="1" s="1"/>
  <c r="T215" i="1" s="1"/>
  <c r="W220" i="1"/>
  <c r="R220" i="1" s="1"/>
  <c r="T220" i="1" s="1"/>
  <c r="W228" i="1"/>
  <c r="R228" i="1" s="1"/>
  <c r="T228" i="1" s="1"/>
  <c r="W191" i="1"/>
  <c r="R191" i="1" s="1"/>
  <c r="T191" i="1" s="1"/>
  <c r="W206" i="1"/>
  <c r="R206" i="1" s="1"/>
  <c r="T206" i="1" s="1"/>
  <c r="W209" i="1"/>
  <c r="R209" i="1" s="1"/>
  <c r="T209" i="1" s="1"/>
  <c r="W218" i="1"/>
  <c r="R218" i="1" s="1"/>
  <c r="T218" i="1" s="1"/>
  <c r="W223" i="1"/>
  <c r="R223" i="1" s="1"/>
  <c r="T223" i="1" s="1"/>
  <c r="W237" i="1"/>
  <c r="R237" i="1" s="1"/>
  <c r="T237" i="1" s="1"/>
  <c r="X188" i="1"/>
  <c r="W199" i="1"/>
  <c r="R199" i="1" s="1"/>
  <c r="T199" i="1" s="1"/>
  <c r="V211" i="1"/>
  <c r="J211" i="1"/>
  <c r="W213" i="1"/>
  <c r="R213" i="1" s="1"/>
  <c r="T213" i="1" s="1"/>
  <c r="X190" i="1"/>
  <c r="X203" i="1"/>
  <c r="W225" i="1"/>
  <c r="R225" i="1" s="1"/>
  <c r="T225" i="1" s="1"/>
  <c r="X211" i="1"/>
  <c r="V216" i="1"/>
  <c r="X216" i="1" s="1"/>
  <c r="J216" i="1"/>
  <c r="J219" i="1"/>
  <c r="V219" i="1"/>
  <c r="X219" i="1" s="1"/>
  <c r="V227" i="1"/>
  <c r="X227" i="1" s="1"/>
  <c r="J227" i="1"/>
  <c r="W198" i="1"/>
  <c r="R198" i="1" s="1"/>
  <c r="T198" i="1" s="1"/>
  <c r="W210" i="1"/>
  <c r="R210" i="1" s="1"/>
  <c r="T210" i="1" s="1"/>
  <c r="W235" i="1"/>
  <c r="R235" i="1" s="1"/>
  <c r="T235" i="1" s="1"/>
  <c r="W239" i="1"/>
  <c r="R239" i="1" s="1"/>
  <c r="T239" i="1" s="1"/>
  <c r="W245" i="1"/>
  <c r="R245" i="1" s="1"/>
  <c r="T245" i="1" s="1"/>
  <c r="X217" i="1"/>
  <c r="W230" i="1"/>
  <c r="R230" i="1" s="1"/>
  <c r="T230" i="1" s="1"/>
  <c r="W234" i="1"/>
  <c r="R234" i="1" s="1"/>
  <c r="T234" i="1" s="1"/>
  <c r="W240" i="1"/>
  <c r="R240" i="1" s="1"/>
  <c r="T240" i="1" s="1"/>
  <c r="W243" i="1"/>
  <c r="R243" i="1" s="1"/>
  <c r="T243" i="1" s="1"/>
  <c r="W246" i="1"/>
  <c r="R246" i="1" s="1"/>
  <c r="T246" i="1" s="1"/>
  <c r="J232" i="1"/>
  <c r="V238" i="1"/>
  <c r="J238" i="1"/>
  <c r="W242" i="1"/>
  <c r="R242" i="1" s="1"/>
  <c r="T242" i="1" s="1"/>
  <c r="X238" i="1"/>
  <c r="W231" i="1"/>
  <c r="R231" i="1" s="1"/>
  <c r="T231" i="1" s="1"/>
  <c r="X232" i="1"/>
  <c r="W233" i="1"/>
  <c r="R233" i="1" s="1"/>
  <c r="T233" i="1" s="1"/>
  <c r="W236" i="1"/>
  <c r="R236" i="1" s="1"/>
  <c r="T236" i="1" s="1"/>
  <c r="W244" i="1"/>
  <c r="R244" i="1" s="1"/>
  <c r="T244" i="1" s="1"/>
  <c r="J229" i="1"/>
  <c r="V229" i="1"/>
  <c r="X229" i="1" s="1"/>
  <c r="Y229" i="1" l="1"/>
  <c r="AA229" i="1" s="1"/>
  <c r="AO112" i="1"/>
  <c r="AB112" i="1"/>
  <c r="AC112" i="1" s="1"/>
  <c r="AD112" i="1" s="1"/>
  <c r="AH112" i="1"/>
  <c r="Y200" i="1"/>
  <c r="AA200" i="1" s="1"/>
  <c r="AA110" i="1"/>
  <c r="Y110" i="1"/>
  <c r="Y23" i="1"/>
  <c r="AA23" i="1" s="1"/>
  <c r="AB205" i="1"/>
  <c r="AC205" i="1" s="1"/>
  <c r="AD205" i="1" s="1"/>
  <c r="AO205" i="1"/>
  <c r="AH205" i="1"/>
  <c r="AO86" i="1"/>
  <c r="AB86" i="1"/>
  <c r="AC86" i="1" s="1"/>
  <c r="AD86" i="1" s="1"/>
  <c r="AH86" i="1"/>
  <c r="Y91" i="1"/>
  <c r="AA91" i="1" s="1"/>
  <c r="AO183" i="1"/>
  <c r="AB183" i="1"/>
  <c r="AC183" i="1" s="1"/>
  <c r="AD183" i="1" s="1"/>
  <c r="AH183" i="1"/>
  <c r="AH131" i="1"/>
  <c r="AO131" i="1"/>
  <c r="AO115" i="1"/>
  <c r="AB115" i="1"/>
  <c r="AC115" i="1" s="1"/>
  <c r="AD115" i="1" s="1"/>
  <c r="AH115" i="1"/>
  <c r="Y79" i="1"/>
  <c r="AA79" i="1" s="1"/>
  <c r="Y104" i="1"/>
  <c r="AA104" i="1" s="1"/>
  <c r="Y167" i="1"/>
  <c r="AA167" i="1" s="1"/>
  <c r="AB168" i="1"/>
  <c r="AC168" i="1" s="1"/>
  <c r="AD168" i="1" s="1"/>
  <c r="AH168" i="1"/>
  <c r="AO168" i="1"/>
  <c r="Y87" i="1"/>
  <c r="AA87" i="1" s="1"/>
  <c r="AH142" i="1"/>
  <c r="AB142" i="1"/>
  <c r="AC142" i="1" s="1"/>
  <c r="AD142" i="1" s="1"/>
  <c r="AO142" i="1"/>
  <c r="AB118" i="1"/>
  <c r="AC118" i="1" s="1"/>
  <c r="AD118" i="1" s="1"/>
  <c r="AH118" i="1"/>
  <c r="AO118" i="1"/>
  <c r="AA42" i="1"/>
  <c r="Y42" i="1"/>
  <c r="J90" i="1"/>
  <c r="V90" i="1"/>
  <c r="X90" i="1" s="1"/>
  <c r="J77" i="1"/>
  <c r="V77" i="1"/>
  <c r="X77" i="1" s="1"/>
  <c r="J100" i="1"/>
  <c r="V100" i="1"/>
  <c r="X100" i="1" s="1"/>
  <c r="J30" i="1"/>
  <c r="V30" i="1"/>
  <c r="X30" i="1" s="1"/>
  <c r="J26" i="1"/>
  <c r="V26" i="1"/>
  <c r="X26" i="1" s="1"/>
  <c r="J29" i="1"/>
  <c r="V29" i="1"/>
  <c r="X29" i="1" s="1"/>
  <c r="V240" i="1"/>
  <c r="X240" i="1" s="1"/>
  <c r="J240" i="1"/>
  <c r="J239" i="1"/>
  <c r="V239" i="1"/>
  <c r="X239" i="1" s="1"/>
  <c r="J195" i="1"/>
  <c r="V195" i="1"/>
  <c r="X195" i="1" s="1"/>
  <c r="Y178" i="1"/>
  <c r="AA178" i="1"/>
  <c r="V189" i="1"/>
  <c r="X189" i="1" s="1"/>
  <c r="J189" i="1"/>
  <c r="V208" i="1"/>
  <c r="X208" i="1" s="1"/>
  <c r="J208" i="1"/>
  <c r="AA172" i="1"/>
  <c r="Y172" i="1"/>
  <c r="V151" i="1"/>
  <c r="X151" i="1" s="1"/>
  <c r="J151" i="1"/>
  <c r="V224" i="1"/>
  <c r="X224" i="1" s="1"/>
  <c r="J224" i="1"/>
  <c r="AA193" i="1"/>
  <c r="Y193" i="1"/>
  <c r="J113" i="1"/>
  <c r="V113" i="1"/>
  <c r="X113" i="1" s="1"/>
  <c r="AB128" i="1"/>
  <c r="AC128" i="1" s="1"/>
  <c r="AD128" i="1" s="1"/>
  <c r="AA128" i="1"/>
  <c r="Y128" i="1"/>
  <c r="Y120" i="1"/>
  <c r="AA120" i="1" s="1"/>
  <c r="Y116" i="1"/>
  <c r="AA116" i="1" s="1"/>
  <c r="J81" i="1"/>
  <c r="V81" i="1"/>
  <c r="X81" i="1" s="1"/>
  <c r="J103" i="1"/>
  <c r="V103" i="1"/>
  <c r="X103" i="1" s="1"/>
  <c r="Y76" i="1"/>
  <c r="AA76" i="1" s="1"/>
  <c r="J93" i="1"/>
  <c r="V93" i="1"/>
  <c r="X93" i="1" s="1"/>
  <c r="J80" i="1"/>
  <c r="V80" i="1"/>
  <c r="X80" i="1" s="1"/>
  <c r="AO78" i="1"/>
  <c r="AB78" i="1"/>
  <c r="AC78" i="1" s="1"/>
  <c r="AD78" i="1" s="1"/>
  <c r="AH78" i="1"/>
  <c r="Y44" i="1"/>
  <c r="AA44" i="1"/>
  <c r="AO75" i="1"/>
  <c r="AB75" i="1"/>
  <c r="AC75" i="1" s="1"/>
  <c r="AD75" i="1" s="1"/>
  <c r="AH75" i="1"/>
  <c r="V39" i="1"/>
  <c r="X39" i="1" s="1"/>
  <c r="J39" i="1"/>
  <c r="AO47" i="1"/>
  <c r="AB47" i="1"/>
  <c r="AC47" i="1" s="1"/>
  <c r="AD47" i="1" s="1"/>
  <c r="AH47" i="1"/>
  <c r="V10" i="1"/>
  <c r="X10" i="1" s="1"/>
  <c r="J10" i="1"/>
  <c r="J16" i="1"/>
  <c r="V16" i="1"/>
  <c r="X16" i="1" s="1"/>
  <c r="J24" i="1"/>
  <c r="V24" i="1"/>
  <c r="X24" i="1" s="1"/>
  <c r="J37" i="1"/>
  <c r="V37" i="1"/>
  <c r="X37" i="1" s="1"/>
  <c r="J11" i="1"/>
  <c r="V11" i="1"/>
  <c r="X11" i="1" s="1"/>
  <c r="Y43" i="1"/>
  <c r="AA43" i="1" s="1"/>
  <c r="Y219" i="1"/>
  <c r="AA219" i="1" s="1"/>
  <c r="J165" i="1"/>
  <c r="V165" i="1"/>
  <c r="X165" i="1" s="1"/>
  <c r="J32" i="1"/>
  <c r="V32" i="1"/>
  <c r="X32" i="1" s="1"/>
  <c r="V233" i="1"/>
  <c r="X233" i="1" s="1"/>
  <c r="J233" i="1"/>
  <c r="J234" i="1"/>
  <c r="V234" i="1"/>
  <c r="X234" i="1" s="1"/>
  <c r="AA227" i="1"/>
  <c r="Y227" i="1"/>
  <c r="Y203" i="1"/>
  <c r="AA203" i="1" s="1"/>
  <c r="Y188" i="1"/>
  <c r="AA188" i="1"/>
  <c r="J209" i="1"/>
  <c r="V209" i="1"/>
  <c r="X209" i="1" s="1"/>
  <c r="J220" i="1"/>
  <c r="V220" i="1"/>
  <c r="X220" i="1" s="1"/>
  <c r="J207" i="1"/>
  <c r="V207" i="1"/>
  <c r="X207" i="1" s="1"/>
  <c r="J226" i="1"/>
  <c r="V226" i="1"/>
  <c r="X226" i="1" s="1"/>
  <c r="J187" i="1"/>
  <c r="V187" i="1"/>
  <c r="X187" i="1" s="1"/>
  <c r="J162" i="1"/>
  <c r="V162" i="1"/>
  <c r="X162" i="1" s="1"/>
  <c r="J147" i="1"/>
  <c r="V147" i="1"/>
  <c r="X147" i="1" s="1"/>
  <c r="J119" i="1"/>
  <c r="V119" i="1"/>
  <c r="X119" i="1" s="1"/>
  <c r="J121" i="1"/>
  <c r="V121" i="1"/>
  <c r="X121" i="1" s="1"/>
  <c r="J137" i="1"/>
  <c r="V137" i="1"/>
  <c r="X137" i="1" s="1"/>
  <c r="J117" i="1"/>
  <c r="V117" i="1"/>
  <c r="X117" i="1" s="1"/>
  <c r="Y144" i="1"/>
  <c r="AA144" i="1" s="1"/>
  <c r="J85" i="1"/>
  <c r="V85" i="1"/>
  <c r="X85" i="1" s="1"/>
  <c r="J48" i="1"/>
  <c r="V48" i="1"/>
  <c r="X48" i="1" s="1"/>
  <c r="J35" i="1"/>
  <c r="V35" i="1"/>
  <c r="X35" i="1" s="1"/>
  <c r="J49" i="1"/>
  <c r="V49" i="1"/>
  <c r="X49" i="1" s="1"/>
  <c r="J56" i="1"/>
  <c r="V56" i="1"/>
  <c r="X56" i="1" s="1"/>
  <c r="J64" i="1"/>
  <c r="V64" i="1"/>
  <c r="X64" i="1" s="1"/>
  <c r="V241" i="1"/>
  <c r="X241" i="1" s="1"/>
  <c r="J241" i="1"/>
  <c r="J71" i="1"/>
  <c r="V71" i="1"/>
  <c r="X71" i="1" s="1"/>
  <c r="J31" i="1"/>
  <c r="V31" i="1"/>
  <c r="X31" i="1" s="1"/>
  <c r="J38" i="1"/>
  <c r="V38" i="1"/>
  <c r="X38" i="1" s="1"/>
  <c r="J40" i="1"/>
  <c r="V40" i="1"/>
  <c r="X40" i="1" s="1"/>
  <c r="Y232" i="1"/>
  <c r="AA232" i="1"/>
  <c r="J7" i="1"/>
  <c r="V7" i="1"/>
  <c r="X7" i="1" s="1"/>
  <c r="J231" i="1"/>
  <c r="V231" i="1"/>
  <c r="X231" i="1" s="1"/>
  <c r="V230" i="1"/>
  <c r="X230" i="1" s="1"/>
  <c r="J230" i="1"/>
  <c r="J235" i="1"/>
  <c r="V235" i="1"/>
  <c r="X235" i="1" s="1"/>
  <c r="J237" i="1"/>
  <c r="V237" i="1"/>
  <c r="X237" i="1" s="1"/>
  <c r="J206" i="1"/>
  <c r="V206" i="1"/>
  <c r="X206" i="1" s="1"/>
  <c r="J215" i="1"/>
  <c r="V215" i="1"/>
  <c r="X215" i="1" s="1"/>
  <c r="J146" i="1"/>
  <c r="V146" i="1"/>
  <c r="X146" i="1" s="1"/>
  <c r="Y184" i="1"/>
  <c r="AA184" i="1" s="1"/>
  <c r="J114" i="1"/>
  <c r="V114" i="1"/>
  <c r="X114" i="1" s="1"/>
  <c r="J122" i="1"/>
  <c r="V122" i="1"/>
  <c r="X122" i="1" s="1"/>
  <c r="J127" i="1"/>
  <c r="V127" i="1"/>
  <c r="X127" i="1" s="1"/>
  <c r="V108" i="1"/>
  <c r="X108" i="1" s="1"/>
  <c r="J108" i="1"/>
  <c r="J72" i="1"/>
  <c r="V72" i="1"/>
  <c r="X72" i="1" s="1"/>
  <c r="J22" i="1"/>
  <c r="V22" i="1"/>
  <c r="X22" i="1" s="1"/>
  <c r="J46" i="1"/>
  <c r="V46" i="1"/>
  <c r="X46" i="1" s="1"/>
  <c r="J51" i="1"/>
  <c r="V51" i="1"/>
  <c r="X51" i="1" s="1"/>
  <c r="J94" i="1"/>
  <c r="V94" i="1"/>
  <c r="X94" i="1" s="1"/>
  <c r="J69" i="1"/>
  <c r="V69" i="1"/>
  <c r="X69" i="1" s="1"/>
  <c r="V55" i="1"/>
  <c r="X55" i="1" s="1"/>
  <c r="J55" i="1"/>
  <c r="J18" i="1"/>
  <c r="V18" i="1"/>
  <c r="X18" i="1" s="1"/>
  <c r="V36" i="1"/>
  <c r="X36" i="1" s="1"/>
  <c r="J36" i="1"/>
  <c r="J20" i="1"/>
  <c r="V20" i="1"/>
  <c r="X20" i="1" s="1"/>
  <c r="V186" i="1"/>
  <c r="X186" i="1" s="1"/>
  <c r="J186" i="1"/>
  <c r="J166" i="1"/>
  <c r="V166" i="1"/>
  <c r="X166" i="1" s="1"/>
  <c r="V246" i="1"/>
  <c r="X246" i="1" s="1"/>
  <c r="J246" i="1"/>
  <c r="AA217" i="1"/>
  <c r="Y217" i="1"/>
  <c r="J210" i="1"/>
  <c r="V210" i="1"/>
  <c r="X210" i="1" s="1"/>
  <c r="J213" i="1"/>
  <c r="V213" i="1"/>
  <c r="X213" i="1" s="1"/>
  <c r="J202" i="1"/>
  <c r="V202" i="1"/>
  <c r="X202" i="1" s="1"/>
  <c r="J157" i="1"/>
  <c r="V157" i="1"/>
  <c r="X157" i="1" s="1"/>
  <c r="J181" i="1"/>
  <c r="V181" i="1"/>
  <c r="X181" i="1" s="1"/>
  <c r="J160" i="1"/>
  <c r="V160" i="1"/>
  <c r="X160" i="1" s="1"/>
  <c r="J177" i="1"/>
  <c r="V177" i="1"/>
  <c r="X177" i="1" s="1"/>
  <c r="J140" i="1"/>
  <c r="V140" i="1"/>
  <c r="X140" i="1" s="1"/>
  <c r="Y139" i="1"/>
  <c r="AA139" i="1" s="1"/>
  <c r="J150" i="1"/>
  <c r="V150" i="1"/>
  <c r="X150" i="1" s="1"/>
  <c r="J88" i="1"/>
  <c r="V88" i="1"/>
  <c r="X88" i="1" s="1"/>
  <c r="AA99" i="1"/>
  <c r="Y99" i="1"/>
  <c r="J107" i="1"/>
  <c r="V107" i="1"/>
  <c r="X107" i="1" s="1"/>
  <c r="J138" i="1"/>
  <c r="V138" i="1"/>
  <c r="X138" i="1" s="1"/>
  <c r="J84" i="1"/>
  <c r="V84" i="1"/>
  <c r="X84" i="1" s="1"/>
  <c r="J98" i="1"/>
  <c r="V98" i="1"/>
  <c r="X98" i="1" s="1"/>
  <c r="AO68" i="1"/>
  <c r="AB68" i="1"/>
  <c r="AC68" i="1" s="1"/>
  <c r="AD68" i="1" s="1"/>
  <c r="AH68" i="1"/>
  <c r="J96" i="1"/>
  <c r="V96" i="1"/>
  <c r="X96" i="1" s="1"/>
  <c r="J9" i="1"/>
  <c r="V9" i="1"/>
  <c r="X9" i="1" s="1"/>
  <c r="J54" i="1"/>
  <c r="V54" i="1"/>
  <c r="X54" i="1" s="1"/>
  <c r="V13" i="1"/>
  <c r="X13" i="1" s="1"/>
  <c r="J13" i="1"/>
  <c r="J28" i="1"/>
  <c r="V28" i="1"/>
  <c r="X28" i="1" s="1"/>
  <c r="J41" i="1"/>
  <c r="V41" i="1"/>
  <c r="X41" i="1" s="1"/>
  <c r="Y53" i="1"/>
  <c r="AA53" i="1" s="1"/>
  <c r="Y61" i="1"/>
  <c r="AA61" i="1" s="1"/>
  <c r="J33" i="1"/>
  <c r="V33" i="1"/>
  <c r="X33" i="1" s="1"/>
  <c r="J3" i="1"/>
  <c r="V3" i="1"/>
  <c r="X3" i="1" s="1"/>
  <c r="Y190" i="1"/>
  <c r="AA190" i="1" s="1"/>
  <c r="J185" i="1"/>
  <c r="V185" i="1"/>
  <c r="X185" i="1" s="1"/>
  <c r="J173" i="1"/>
  <c r="V173" i="1"/>
  <c r="X173" i="1" s="1"/>
  <c r="V111" i="1"/>
  <c r="X111" i="1" s="1"/>
  <c r="J111" i="1"/>
  <c r="Y141" i="1"/>
  <c r="AA141" i="1"/>
  <c r="J153" i="1"/>
  <c r="V153" i="1"/>
  <c r="X153" i="1" s="1"/>
  <c r="J101" i="1"/>
  <c r="V101" i="1"/>
  <c r="X101" i="1" s="1"/>
  <c r="J89" i="1"/>
  <c r="V89" i="1"/>
  <c r="X89" i="1" s="1"/>
  <c r="J102" i="1"/>
  <c r="V102" i="1"/>
  <c r="X102" i="1" s="1"/>
  <c r="J17" i="1"/>
  <c r="V17" i="1"/>
  <c r="X17" i="1" s="1"/>
  <c r="AA66" i="1"/>
  <c r="Y66" i="1"/>
  <c r="J244" i="1"/>
  <c r="V244" i="1"/>
  <c r="X244" i="1" s="1"/>
  <c r="Y238" i="1"/>
  <c r="AA238" i="1" s="1"/>
  <c r="J245" i="1"/>
  <c r="V245" i="1"/>
  <c r="X245" i="1" s="1"/>
  <c r="AA216" i="1"/>
  <c r="Y216" i="1"/>
  <c r="J223" i="1"/>
  <c r="V223" i="1"/>
  <c r="X223" i="1" s="1"/>
  <c r="J191" i="1"/>
  <c r="V191" i="1"/>
  <c r="X191" i="1" s="1"/>
  <c r="Y214" i="1"/>
  <c r="AA214" i="1" s="1"/>
  <c r="AA197" i="1"/>
  <c r="Y197" i="1"/>
  <c r="J149" i="1"/>
  <c r="V149" i="1"/>
  <c r="X149" i="1" s="1"/>
  <c r="J194" i="1"/>
  <c r="V194" i="1"/>
  <c r="X194" i="1" s="1"/>
  <c r="Y161" i="1"/>
  <c r="AA161" i="1" s="1"/>
  <c r="J170" i="1"/>
  <c r="V170" i="1"/>
  <c r="X170" i="1" s="1"/>
  <c r="J132" i="1"/>
  <c r="V132" i="1"/>
  <c r="X132" i="1" s="1"/>
  <c r="AB133" i="1"/>
  <c r="AC133" i="1" s="1"/>
  <c r="AD133" i="1" s="1"/>
  <c r="AA133" i="1"/>
  <c r="Y133" i="1"/>
  <c r="V169" i="1"/>
  <c r="X169" i="1" s="1"/>
  <c r="J169" i="1"/>
  <c r="J135" i="1"/>
  <c r="V135" i="1"/>
  <c r="X135" i="1" s="1"/>
  <c r="J159" i="1"/>
  <c r="V159" i="1"/>
  <c r="X159" i="1" s="1"/>
  <c r="V164" i="1"/>
  <c r="X164" i="1" s="1"/>
  <c r="J164" i="1"/>
  <c r="J92" i="1"/>
  <c r="V92" i="1"/>
  <c r="X92" i="1" s="1"/>
  <c r="J105" i="1"/>
  <c r="V105" i="1"/>
  <c r="X105" i="1" s="1"/>
  <c r="Y60" i="1"/>
  <c r="AA60" i="1" s="1"/>
  <c r="J70" i="1"/>
  <c r="V70" i="1"/>
  <c r="X70" i="1" s="1"/>
  <c r="J57" i="1"/>
  <c r="V57" i="1"/>
  <c r="X57" i="1" s="1"/>
  <c r="Y106" i="1"/>
  <c r="AA106" i="1" s="1"/>
  <c r="V5" i="1"/>
  <c r="X5" i="1" s="1"/>
  <c r="J5" i="1"/>
  <c r="J6" i="1"/>
  <c r="V6" i="1"/>
  <c r="X6" i="1" s="1"/>
  <c r="J21" i="1"/>
  <c r="V21" i="1"/>
  <c r="X21" i="1" s="1"/>
  <c r="J15" i="1"/>
  <c r="V15" i="1"/>
  <c r="X15" i="1" s="1"/>
  <c r="J182" i="1"/>
  <c r="V182" i="1"/>
  <c r="X182" i="1" s="1"/>
  <c r="J221" i="1"/>
  <c r="V221" i="1"/>
  <c r="X221" i="1" s="1"/>
  <c r="AA109" i="1"/>
  <c r="Y109" i="1"/>
  <c r="J4" i="1"/>
  <c r="V4" i="1"/>
  <c r="X4" i="1" s="1"/>
  <c r="J242" i="1"/>
  <c r="V242" i="1"/>
  <c r="X242" i="1" s="1"/>
  <c r="J198" i="1"/>
  <c r="V198" i="1"/>
  <c r="X198" i="1" s="1"/>
  <c r="AA211" i="1"/>
  <c r="Y211" i="1"/>
  <c r="Y201" i="1"/>
  <c r="AA201" i="1" s="1"/>
  <c r="Y180" i="1"/>
  <c r="AA180" i="1" s="1"/>
  <c r="J192" i="1"/>
  <c r="V192" i="1"/>
  <c r="X192" i="1" s="1"/>
  <c r="AA179" i="1"/>
  <c r="Y179" i="1"/>
  <c r="Y222" i="1"/>
  <c r="AA222" i="1" s="1"/>
  <c r="V204" i="1"/>
  <c r="X204" i="1" s="1"/>
  <c r="J204" i="1"/>
  <c r="J174" i="1"/>
  <c r="V174" i="1"/>
  <c r="X174" i="1" s="1"/>
  <c r="AA176" i="1"/>
  <c r="Y176" i="1"/>
  <c r="V156" i="1"/>
  <c r="X156" i="1" s="1"/>
  <c r="J156" i="1"/>
  <c r="J163" i="1"/>
  <c r="V163" i="1"/>
  <c r="X163" i="1" s="1"/>
  <c r="J134" i="1"/>
  <c r="V134" i="1"/>
  <c r="X134" i="1" s="1"/>
  <c r="J130" i="1"/>
  <c r="V130" i="1"/>
  <c r="X130" i="1" s="1"/>
  <c r="J126" i="1"/>
  <c r="V126" i="1"/>
  <c r="X126" i="1" s="1"/>
  <c r="Y83" i="1"/>
  <c r="AA83" i="1" s="1"/>
  <c r="V136" i="1"/>
  <c r="X136" i="1" s="1"/>
  <c r="J136" i="1"/>
  <c r="J95" i="1"/>
  <c r="V95" i="1"/>
  <c r="X95" i="1" s="1"/>
  <c r="J97" i="1"/>
  <c r="V97" i="1"/>
  <c r="X97" i="1" s="1"/>
  <c r="J82" i="1"/>
  <c r="V82" i="1"/>
  <c r="X82" i="1" s="1"/>
  <c r="J129" i="1"/>
  <c r="V129" i="1"/>
  <c r="X129" i="1" s="1"/>
  <c r="AO63" i="1"/>
  <c r="AB63" i="1"/>
  <c r="AC63" i="1" s="1"/>
  <c r="AD63" i="1" s="1"/>
  <c r="AH63" i="1"/>
  <c r="J125" i="1"/>
  <c r="V125" i="1"/>
  <c r="X125" i="1" s="1"/>
  <c r="AA58" i="1"/>
  <c r="Y58" i="1"/>
  <c r="V2" i="1"/>
  <c r="X2" i="1" s="1"/>
  <c r="J2" i="1"/>
  <c r="J25" i="1"/>
  <c r="V25" i="1"/>
  <c r="X25" i="1" s="1"/>
  <c r="J34" i="1"/>
  <c r="V34" i="1"/>
  <c r="X34" i="1" s="1"/>
  <c r="J8" i="1"/>
  <c r="V8" i="1"/>
  <c r="X8" i="1" s="1"/>
  <c r="J19" i="1"/>
  <c r="V19" i="1"/>
  <c r="X19" i="1" s="1"/>
  <c r="Y74" i="1"/>
  <c r="AA74" i="1" s="1"/>
  <c r="J154" i="1"/>
  <c r="V154" i="1"/>
  <c r="X154" i="1" s="1"/>
  <c r="J27" i="1"/>
  <c r="V27" i="1"/>
  <c r="X27" i="1" s="1"/>
  <c r="J236" i="1"/>
  <c r="V236" i="1"/>
  <c r="X236" i="1" s="1"/>
  <c r="J243" i="1"/>
  <c r="V243" i="1"/>
  <c r="X243" i="1" s="1"/>
  <c r="J225" i="1"/>
  <c r="V225" i="1"/>
  <c r="X225" i="1" s="1"/>
  <c r="J199" i="1"/>
  <c r="V199" i="1"/>
  <c r="X199" i="1" s="1"/>
  <c r="J218" i="1"/>
  <c r="V218" i="1"/>
  <c r="X218" i="1" s="1"/>
  <c r="J228" i="1"/>
  <c r="V228" i="1"/>
  <c r="X228" i="1" s="1"/>
  <c r="Y196" i="1"/>
  <c r="AA196" i="1"/>
  <c r="V171" i="1"/>
  <c r="X171" i="1" s="1"/>
  <c r="J171" i="1"/>
  <c r="J212" i="1"/>
  <c r="V212" i="1"/>
  <c r="X212" i="1" s="1"/>
  <c r="J155" i="1"/>
  <c r="V155" i="1"/>
  <c r="X155" i="1" s="1"/>
  <c r="AO175" i="1"/>
  <c r="AH175" i="1"/>
  <c r="AB175" i="1"/>
  <c r="AC175" i="1" s="1"/>
  <c r="AD175" i="1" s="1"/>
  <c r="AA143" i="1"/>
  <c r="Y143" i="1"/>
  <c r="J152" i="1"/>
  <c r="V152" i="1"/>
  <c r="X152" i="1" s="1"/>
  <c r="Y123" i="1"/>
  <c r="AA123" i="1" s="1"/>
  <c r="J124" i="1"/>
  <c r="V124" i="1"/>
  <c r="X124" i="1" s="1"/>
  <c r="V148" i="1"/>
  <c r="X148" i="1" s="1"/>
  <c r="J148" i="1"/>
  <c r="J145" i="1"/>
  <c r="V145" i="1"/>
  <c r="X145" i="1" s="1"/>
  <c r="J158" i="1"/>
  <c r="V158" i="1"/>
  <c r="X158" i="1" s="1"/>
  <c r="J59" i="1"/>
  <c r="V59" i="1"/>
  <c r="X59" i="1" s="1"/>
  <c r="AA50" i="1"/>
  <c r="Y50" i="1"/>
  <c r="J62" i="1"/>
  <c r="V62" i="1"/>
  <c r="X62" i="1" s="1"/>
  <c r="J67" i="1"/>
  <c r="V67" i="1"/>
  <c r="X67" i="1" s="1"/>
  <c r="AA52" i="1"/>
  <c r="Y52" i="1"/>
  <c r="AA73" i="1"/>
  <c r="Y73" i="1"/>
  <c r="Y45" i="1"/>
  <c r="AA45" i="1" s="1"/>
  <c r="J65" i="1"/>
  <c r="V65" i="1"/>
  <c r="X65" i="1" s="1"/>
  <c r="J12" i="1"/>
  <c r="V12" i="1"/>
  <c r="X12" i="1" s="1"/>
  <c r="J14" i="1"/>
  <c r="V14" i="1"/>
  <c r="X14" i="1" s="1"/>
  <c r="AO60" i="1" l="1"/>
  <c r="AB60" i="1"/>
  <c r="AC60" i="1" s="1"/>
  <c r="AD60" i="1" s="1"/>
  <c r="AH60" i="1"/>
  <c r="AB79" i="1"/>
  <c r="AC79" i="1" s="1"/>
  <c r="AD79" i="1" s="1"/>
  <c r="AH79" i="1"/>
  <c r="AO79" i="1"/>
  <c r="AB123" i="1"/>
  <c r="AC123" i="1" s="1"/>
  <c r="AD123" i="1" s="1"/>
  <c r="AH123" i="1"/>
  <c r="AO123" i="1"/>
  <c r="AO74" i="1"/>
  <c r="AB74" i="1"/>
  <c r="AC74" i="1" s="1"/>
  <c r="AD74" i="1" s="1"/>
  <c r="AH74" i="1"/>
  <c r="AB53" i="1"/>
  <c r="AC53" i="1" s="1"/>
  <c r="AD53" i="1" s="1"/>
  <c r="AH53" i="1"/>
  <c r="AO53" i="1"/>
  <c r="AB219" i="1"/>
  <c r="AC219" i="1" s="1"/>
  <c r="AD219" i="1" s="1"/>
  <c r="AO219" i="1"/>
  <c r="AH219" i="1"/>
  <c r="AO91" i="1"/>
  <c r="AB91" i="1"/>
  <c r="AC91" i="1" s="1"/>
  <c r="AD91" i="1" s="1"/>
  <c r="AH91" i="1"/>
  <c r="AH43" i="1"/>
  <c r="AO43" i="1"/>
  <c r="AB43" i="1"/>
  <c r="AC43" i="1" s="1"/>
  <c r="AD43" i="1" s="1"/>
  <c r="AB87" i="1"/>
  <c r="AC87" i="1" s="1"/>
  <c r="AD87" i="1" s="1"/>
  <c r="AH87" i="1"/>
  <c r="AO87" i="1"/>
  <c r="AO180" i="1"/>
  <c r="AB180" i="1"/>
  <c r="AC180" i="1" s="1"/>
  <c r="AD180" i="1" s="1"/>
  <c r="AH180" i="1"/>
  <c r="AB106" i="1"/>
  <c r="AC106" i="1" s="1"/>
  <c r="AD106" i="1" s="1"/>
  <c r="AH106" i="1"/>
  <c r="AO106" i="1"/>
  <c r="AB214" i="1"/>
  <c r="AC214" i="1" s="1"/>
  <c r="AD214" i="1" s="1"/>
  <c r="AH214" i="1"/>
  <c r="AO214" i="1"/>
  <c r="AB190" i="1"/>
  <c r="AC190" i="1" s="1"/>
  <c r="AD190" i="1" s="1"/>
  <c r="AO190" i="1"/>
  <c r="AH190" i="1"/>
  <c r="AB116" i="1"/>
  <c r="AC116" i="1" s="1"/>
  <c r="AD116" i="1" s="1"/>
  <c r="AH116" i="1"/>
  <c r="AO116" i="1"/>
  <c r="AH200" i="1"/>
  <c r="AB200" i="1"/>
  <c r="AC200" i="1" s="1"/>
  <c r="AD200" i="1" s="1"/>
  <c r="AO200" i="1"/>
  <c r="AO23" i="1"/>
  <c r="AB23" i="1"/>
  <c r="AC23" i="1" s="1"/>
  <c r="AD23" i="1" s="1"/>
  <c r="AH23" i="1"/>
  <c r="AB45" i="1"/>
  <c r="AC45" i="1" s="1"/>
  <c r="AD45" i="1" s="1"/>
  <c r="AH45" i="1"/>
  <c r="AO45" i="1"/>
  <c r="AO201" i="1"/>
  <c r="AH201" i="1"/>
  <c r="AB201" i="1"/>
  <c r="AC201" i="1" s="1"/>
  <c r="AD201" i="1" s="1"/>
  <c r="AO161" i="1"/>
  <c r="AB161" i="1"/>
  <c r="AC161" i="1" s="1"/>
  <c r="AD161" i="1" s="1"/>
  <c r="AH161" i="1"/>
  <c r="AO238" i="1"/>
  <c r="AB238" i="1"/>
  <c r="AC238" i="1" s="1"/>
  <c r="AD238" i="1" s="1"/>
  <c r="AH238" i="1"/>
  <c r="AB184" i="1"/>
  <c r="AC184" i="1" s="1"/>
  <c r="AD184" i="1" s="1"/>
  <c r="AH184" i="1"/>
  <c r="AO184" i="1"/>
  <c r="AO120" i="1"/>
  <c r="AB120" i="1"/>
  <c r="AC120" i="1" s="1"/>
  <c r="AD120" i="1" s="1"/>
  <c r="AH120" i="1"/>
  <c r="AB61" i="1"/>
  <c r="AC61" i="1" s="1"/>
  <c r="AD61" i="1" s="1"/>
  <c r="AH61" i="1"/>
  <c r="AO61" i="1"/>
  <c r="AO83" i="1"/>
  <c r="AB83" i="1"/>
  <c r="AC83" i="1" s="1"/>
  <c r="AD83" i="1" s="1"/>
  <c r="AH83" i="1"/>
  <c r="AO144" i="1"/>
  <c r="AB144" i="1"/>
  <c r="AC144" i="1" s="1"/>
  <c r="AD144" i="1" s="1"/>
  <c r="AH144" i="1"/>
  <c r="AB222" i="1"/>
  <c r="AC222" i="1" s="1"/>
  <c r="AD222" i="1" s="1"/>
  <c r="AH222" i="1"/>
  <c r="AO222" i="1"/>
  <c r="AH203" i="1"/>
  <c r="AB203" i="1"/>
  <c r="AC203" i="1" s="1"/>
  <c r="AD203" i="1" s="1"/>
  <c r="AO203" i="1"/>
  <c r="AH76" i="1"/>
  <c r="AO76" i="1"/>
  <c r="AB76" i="1"/>
  <c r="AC76" i="1" s="1"/>
  <c r="AD76" i="1" s="1"/>
  <c r="AO167" i="1"/>
  <c r="AH167" i="1"/>
  <c r="AB167" i="1"/>
  <c r="AC167" i="1" s="1"/>
  <c r="AD167" i="1" s="1"/>
  <c r="AH139" i="1"/>
  <c r="AO139" i="1"/>
  <c r="AB139" i="1"/>
  <c r="AC139" i="1" s="1"/>
  <c r="AD139" i="1" s="1"/>
  <c r="AO104" i="1"/>
  <c r="AB104" i="1"/>
  <c r="AC104" i="1" s="1"/>
  <c r="AD104" i="1" s="1"/>
  <c r="AH104" i="1"/>
  <c r="AH229" i="1"/>
  <c r="AO229" i="1"/>
  <c r="AB229" i="1"/>
  <c r="AC229" i="1" s="1"/>
  <c r="AD229" i="1" s="1"/>
  <c r="AB58" i="1"/>
  <c r="AC58" i="1" s="1"/>
  <c r="AD58" i="1" s="1"/>
  <c r="AH58" i="1"/>
  <c r="AO58" i="1"/>
  <c r="Y194" i="1"/>
  <c r="AA194" i="1" s="1"/>
  <c r="Y107" i="1"/>
  <c r="AA107" i="1" s="1"/>
  <c r="AA210" i="1"/>
  <c r="Y210" i="1"/>
  <c r="Y127" i="1"/>
  <c r="AA127" i="1" s="1"/>
  <c r="AJ142" i="1"/>
  <c r="AK142" i="1" s="1"/>
  <c r="AL142" i="1" s="1"/>
  <c r="AO73" i="1"/>
  <c r="AB73" i="1"/>
  <c r="AC73" i="1" s="1"/>
  <c r="AD73" i="1" s="1"/>
  <c r="AH73" i="1"/>
  <c r="AB50" i="1"/>
  <c r="AC50" i="1" s="1"/>
  <c r="AD50" i="1" s="1"/>
  <c r="AH50" i="1"/>
  <c r="AO50" i="1"/>
  <c r="Y148" i="1"/>
  <c r="AA148" i="1" s="1"/>
  <c r="AH143" i="1"/>
  <c r="AO143" i="1"/>
  <c r="AB143" i="1"/>
  <c r="AC143" i="1" s="1"/>
  <c r="AD143" i="1" s="1"/>
  <c r="Y2" i="1"/>
  <c r="AA2" i="1" s="1"/>
  <c r="AB176" i="1"/>
  <c r="AC176" i="1" s="1"/>
  <c r="AD176" i="1" s="1"/>
  <c r="AH176" i="1"/>
  <c r="AO176" i="1"/>
  <c r="AH179" i="1"/>
  <c r="AO179" i="1"/>
  <c r="AB179" i="1"/>
  <c r="AC179" i="1" s="1"/>
  <c r="AD179" i="1" s="1"/>
  <c r="AB211" i="1"/>
  <c r="AC211" i="1" s="1"/>
  <c r="AD211" i="1" s="1"/>
  <c r="AO211" i="1"/>
  <c r="AH211" i="1"/>
  <c r="AB109" i="1"/>
  <c r="AC109" i="1" s="1"/>
  <c r="AD109" i="1" s="1"/>
  <c r="AH109" i="1"/>
  <c r="AO109" i="1"/>
  <c r="Y169" i="1"/>
  <c r="AA169" i="1" s="1"/>
  <c r="Y245" i="1"/>
  <c r="AA245" i="1" s="1"/>
  <c r="AA17" i="1"/>
  <c r="Y17" i="1"/>
  <c r="Y153" i="1"/>
  <c r="AA153" i="1" s="1"/>
  <c r="Y185" i="1"/>
  <c r="AA185" i="1"/>
  <c r="AK68" i="1"/>
  <c r="AL68" i="1" s="1"/>
  <c r="AJ68" i="1"/>
  <c r="AA138" i="1"/>
  <c r="Y138" i="1"/>
  <c r="Y150" i="1"/>
  <c r="AA150" i="1" s="1"/>
  <c r="Y160" i="1"/>
  <c r="AA160" i="1" s="1"/>
  <c r="AA213" i="1"/>
  <c r="Y213" i="1"/>
  <c r="Y166" i="1"/>
  <c r="AA166" i="1" s="1"/>
  <c r="Y18" i="1"/>
  <c r="AA18" i="1" s="1"/>
  <c r="Y51" i="1"/>
  <c r="AA51" i="1" s="1"/>
  <c r="Y237" i="1"/>
  <c r="AA237" i="1" s="1"/>
  <c r="AA7" i="1"/>
  <c r="Y7" i="1"/>
  <c r="Y31" i="1"/>
  <c r="AA31" i="1" s="1"/>
  <c r="Y56" i="1"/>
  <c r="AA56" i="1" s="1"/>
  <c r="Y85" i="1"/>
  <c r="AA85" i="1" s="1"/>
  <c r="AA121" i="1"/>
  <c r="Y121" i="1"/>
  <c r="Y187" i="1"/>
  <c r="AA187" i="1"/>
  <c r="Y209" i="1"/>
  <c r="AA209" i="1" s="1"/>
  <c r="AA234" i="1"/>
  <c r="Y234" i="1"/>
  <c r="AA24" i="1"/>
  <c r="Y24" i="1"/>
  <c r="AO44" i="1"/>
  <c r="AH44" i="1"/>
  <c r="AB44" i="1"/>
  <c r="AC44" i="1" s="1"/>
  <c r="AD44" i="1" s="1"/>
  <c r="Y93" i="1"/>
  <c r="AA93" i="1" s="1"/>
  <c r="AB172" i="1"/>
  <c r="AC172" i="1" s="1"/>
  <c r="AD172" i="1" s="1"/>
  <c r="AO172" i="1"/>
  <c r="AH172" i="1"/>
  <c r="AJ205" i="1"/>
  <c r="AK205" i="1"/>
  <c r="AL205" i="1" s="1"/>
  <c r="AK175" i="1"/>
  <c r="AL175" i="1" s="1"/>
  <c r="AJ175" i="1"/>
  <c r="AA102" i="1"/>
  <c r="Y102" i="1"/>
  <c r="AH42" i="1"/>
  <c r="AO42" i="1"/>
  <c r="AB42" i="1"/>
  <c r="AC42" i="1" s="1"/>
  <c r="AD42" i="1" s="1"/>
  <c r="Y12" i="1"/>
  <c r="AA12" i="1" s="1"/>
  <c r="AA59" i="1"/>
  <c r="Y59" i="1"/>
  <c r="Y124" i="1"/>
  <c r="AA124" i="1" s="1"/>
  <c r="Y199" i="1"/>
  <c r="AA199" i="1"/>
  <c r="AA27" i="1"/>
  <c r="Y27" i="1"/>
  <c r="AA8" i="1"/>
  <c r="Y8" i="1"/>
  <c r="AB129" i="1"/>
  <c r="AC129" i="1" s="1"/>
  <c r="AD129" i="1" s="1"/>
  <c r="AA129" i="1"/>
  <c r="Y129" i="1"/>
  <c r="AB134" i="1"/>
  <c r="AC134" i="1" s="1"/>
  <c r="AD134" i="1" s="1"/>
  <c r="AA134" i="1"/>
  <c r="Y134" i="1"/>
  <c r="Y174" i="1"/>
  <c r="AA174" i="1" s="1"/>
  <c r="Y192" i="1"/>
  <c r="AA192" i="1" s="1"/>
  <c r="Y198" i="1"/>
  <c r="AA198" i="1" s="1"/>
  <c r="AA221" i="1"/>
  <c r="Y221" i="1"/>
  <c r="AA6" i="1"/>
  <c r="Y6" i="1"/>
  <c r="Y70" i="1"/>
  <c r="AA70" i="1" s="1"/>
  <c r="Y13" i="1"/>
  <c r="AA13" i="1" s="1"/>
  <c r="AA108" i="1"/>
  <c r="Y108" i="1"/>
  <c r="Y239" i="1"/>
  <c r="AA239" i="1" s="1"/>
  <c r="Y30" i="1"/>
  <c r="AA30" i="1"/>
  <c r="Y171" i="1"/>
  <c r="AA171" i="1" s="1"/>
  <c r="AO133" i="1"/>
  <c r="AH133" i="1"/>
  <c r="AJ112" i="1"/>
  <c r="AK112" i="1"/>
  <c r="AL112" i="1" s="1"/>
  <c r="AA65" i="1"/>
  <c r="Y65" i="1"/>
  <c r="Y67" i="1"/>
  <c r="AA67" i="1" s="1"/>
  <c r="Y158" i="1"/>
  <c r="AA158" i="1" s="1"/>
  <c r="AO196" i="1"/>
  <c r="AH196" i="1"/>
  <c r="AB196" i="1"/>
  <c r="AC196" i="1" s="1"/>
  <c r="AD196" i="1" s="1"/>
  <c r="AA225" i="1"/>
  <c r="Y225" i="1"/>
  <c r="Y154" i="1"/>
  <c r="AA154" i="1" s="1"/>
  <c r="Y34" i="1"/>
  <c r="AA34" i="1" s="1"/>
  <c r="AA125" i="1"/>
  <c r="Y125" i="1"/>
  <c r="AA82" i="1"/>
  <c r="Y82" i="1"/>
  <c r="Y163" i="1"/>
  <c r="AA163" i="1"/>
  <c r="Y242" i="1"/>
  <c r="AA242" i="1" s="1"/>
  <c r="Y182" i="1"/>
  <c r="AA182" i="1" s="1"/>
  <c r="AA159" i="1"/>
  <c r="Y159" i="1"/>
  <c r="Y186" i="1"/>
  <c r="AA186" i="1"/>
  <c r="Y55" i="1"/>
  <c r="AA55" i="1" s="1"/>
  <c r="AA233" i="1"/>
  <c r="Y233" i="1"/>
  <c r="AA39" i="1"/>
  <c r="Y39" i="1"/>
  <c r="Y100" i="1"/>
  <c r="AA100" i="1" s="1"/>
  <c r="Y136" i="1"/>
  <c r="AA136" i="1" s="1"/>
  <c r="AH141" i="1"/>
  <c r="AO141" i="1"/>
  <c r="AB141" i="1"/>
  <c r="AC141" i="1" s="1"/>
  <c r="AD141" i="1" s="1"/>
  <c r="Y204" i="1"/>
  <c r="AA204" i="1"/>
  <c r="Y5" i="1"/>
  <c r="AA5" i="1" s="1"/>
  <c r="AA132" i="1"/>
  <c r="Y132" i="1"/>
  <c r="AB132" i="1"/>
  <c r="AC132" i="1" s="1"/>
  <c r="AD132" i="1" s="1"/>
  <c r="AA149" i="1"/>
  <c r="Y149" i="1"/>
  <c r="Y223" i="1"/>
  <c r="AA223" i="1" s="1"/>
  <c r="Y244" i="1"/>
  <c r="AA244" i="1" s="1"/>
  <c r="Y89" i="1"/>
  <c r="AA89" i="1" s="1"/>
  <c r="AA3" i="1"/>
  <c r="Y3" i="1"/>
  <c r="Y41" i="1"/>
  <c r="AA41" i="1" s="1"/>
  <c r="Y9" i="1"/>
  <c r="AA9" i="1"/>
  <c r="Y98" i="1"/>
  <c r="AA98" i="1"/>
  <c r="AA140" i="1"/>
  <c r="Y140" i="1"/>
  <c r="AA157" i="1"/>
  <c r="Y157" i="1"/>
  <c r="Y20" i="1"/>
  <c r="AA20" i="1" s="1"/>
  <c r="Y69" i="1"/>
  <c r="AA69" i="1" s="1"/>
  <c r="Y22" i="1"/>
  <c r="AA22" i="1" s="1"/>
  <c r="AA122" i="1"/>
  <c r="Y122" i="1"/>
  <c r="Y215" i="1"/>
  <c r="AA215" i="1"/>
  <c r="Y40" i="1"/>
  <c r="AA40" i="1" s="1"/>
  <c r="Y35" i="1"/>
  <c r="AA35" i="1" s="1"/>
  <c r="AA117" i="1"/>
  <c r="Y117" i="1"/>
  <c r="Y147" i="1"/>
  <c r="AA147" i="1"/>
  <c r="Y207" i="1"/>
  <c r="AA207" i="1"/>
  <c r="AA32" i="1"/>
  <c r="Y32" i="1"/>
  <c r="AA11" i="1"/>
  <c r="Y11" i="1"/>
  <c r="AJ75" i="1"/>
  <c r="AK75" i="1" s="1"/>
  <c r="AL75" i="1" s="1"/>
  <c r="Y103" i="1"/>
  <c r="AA103" i="1" s="1"/>
  <c r="AA224" i="1"/>
  <c r="Y224" i="1"/>
  <c r="Y189" i="1"/>
  <c r="AA189" i="1" s="1"/>
  <c r="Y240" i="1"/>
  <c r="AA240" i="1"/>
  <c r="AJ118" i="1"/>
  <c r="AK118" i="1" s="1"/>
  <c r="AL118" i="1" s="1"/>
  <c r="AK131" i="1"/>
  <c r="AL131" i="1" s="1"/>
  <c r="AJ131" i="1"/>
  <c r="AK86" i="1"/>
  <c r="AL86" i="1" s="1"/>
  <c r="AJ86" i="1"/>
  <c r="Y191" i="1"/>
  <c r="AA191" i="1"/>
  <c r="Y54" i="1"/>
  <c r="AA54" i="1"/>
  <c r="AA235" i="1"/>
  <c r="Y235" i="1"/>
  <c r="Y62" i="1"/>
  <c r="AA62" i="1" s="1"/>
  <c r="Y145" i="1"/>
  <c r="AA145" i="1" s="1"/>
  <c r="Y152" i="1"/>
  <c r="AA152" i="1" s="1"/>
  <c r="Y155" i="1"/>
  <c r="AA155" i="1" s="1"/>
  <c r="AA228" i="1"/>
  <c r="Y228" i="1"/>
  <c r="Y243" i="1"/>
  <c r="AA243" i="1" s="1"/>
  <c r="Y25" i="1"/>
  <c r="AA25" i="1"/>
  <c r="AK63" i="1"/>
  <c r="AL63" i="1" s="1"/>
  <c r="AJ63" i="1"/>
  <c r="AA97" i="1"/>
  <c r="Y97" i="1"/>
  <c r="Y126" i="1"/>
  <c r="AA126" i="1" s="1"/>
  <c r="Y4" i="1"/>
  <c r="AA4" i="1"/>
  <c r="AA15" i="1"/>
  <c r="Y15" i="1"/>
  <c r="AA105" i="1"/>
  <c r="Y105" i="1"/>
  <c r="Y135" i="1"/>
  <c r="AA135" i="1"/>
  <c r="Y111" i="1"/>
  <c r="AA111" i="1" s="1"/>
  <c r="AO99" i="1"/>
  <c r="AB99" i="1"/>
  <c r="AC99" i="1" s="1"/>
  <c r="AD99" i="1" s="1"/>
  <c r="AH99" i="1"/>
  <c r="AB217" i="1"/>
  <c r="AC217" i="1" s="1"/>
  <c r="AD217" i="1" s="1"/>
  <c r="AH217" i="1"/>
  <c r="AO217" i="1"/>
  <c r="AA230" i="1"/>
  <c r="Y230" i="1"/>
  <c r="AA241" i="1"/>
  <c r="Y241" i="1"/>
  <c r="Y10" i="1"/>
  <c r="AA10" i="1" s="1"/>
  <c r="AO128" i="1"/>
  <c r="AH128" i="1"/>
  <c r="AB178" i="1"/>
  <c r="AC178" i="1" s="1"/>
  <c r="AD178" i="1" s="1"/>
  <c r="AH178" i="1"/>
  <c r="AO178" i="1"/>
  <c r="AA29" i="1"/>
  <c r="Y29" i="1"/>
  <c r="Y77" i="1"/>
  <c r="AA77" i="1" s="1"/>
  <c r="AO52" i="1"/>
  <c r="AB52" i="1"/>
  <c r="AC52" i="1" s="1"/>
  <c r="AD52" i="1" s="1"/>
  <c r="AH52" i="1"/>
  <c r="AA164" i="1"/>
  <c r="Y164" i="1"/>
  <c r="AA181" i="1"/>
  <c r="Y181" i="1"/>
  <c r="Y46" i="1"/>
  <c r="AA46" i="1"/>
  <c r="Y146" i="1"/>
  <c r="AA146" i="1" s="1"/>
  <c r="AO232" i="1"/>
  <c r="AB232" i="1"/>
  <c r="AC232" i="1" s="1"/>
  <c r="AD232" i="1" s="1"/>
  <c r="AH232" i="1"/>
  <c r="Y71" i="1"/>
  <c r="AA71" i="1" s="1"/>
  <c r="Y49" i="1"/>
  <c r="AA49" i="1" s="1"/>
  <c r="AA119" i="1"/>
  <c r="Y119" i="1"/>
  <c r="AA226" i="1"/>
  <c r="Y226" i="1"/>
  <c r="AO188" i="1"/>
  <c r="AH188" i="1"/>
  <c r="AB188" i="1"/>
  <c r="AC188" i="1" s="1"/>
  <c r="AD188" i="1" s="1"/>
  <c r="AA16" i="1"/>
  <c r="Y16" i="1"/>
  <c r="AK78" i="1"/>
  <c r="AL78" i="1" s="1"/>
  <c r="AJ78" i="1"/>
  <c r="AH193" i="1"/>
  <c r="AO193" i="1"/>
  <c r="AB193" i="1"/>
  <c r="AC193" i="1" s="1"/>
  <c r="AD193" i="1" s="1"/>
  <c r="AA208" i="1"/>
  <c r="Y208" i="1"/>
  <c r="AA156" i="1"/>
  <c r="Y156" i="1"/>
  <c r="Y170" i="1"/>
  <c r="AA170" i="1" s="1"/>
  <c r="Y101" i="1"/>
  <c r="AA101" i="1" s="1"/>
  <c r="AA173" i="1"/>
  <c r="Y173" i="1"/>
  <c r="AA33" i="1"/>
  <c r="Y33" i="1"/>
  <c r="Y28" i="1"/>
  <c r="AA28" i="1" s="1"/>
  <c r="Y96" i="1"/>
  <c r="AA96" i="1" s="1"/>
  <c r="AA84" i="1"/>
  <c r="Y84" i="1"/>
  <c r="AA88" i="1"/>
  <c r="Y88" i="1"/>
  <c r="Y177" i="1"/>
  <c r="AA177" i="1"/>
  <c r="Y202" i="1"/>
  <c r="AA202" i="1" s="1"/>
  <c r="AA94" i="1"/>
  <c r="Y94" i="1"/>
  <c r="AA72" i="1"/>
  <c r="Y72" i="1"/>
  <c r="Y114" i="1"/>
  <c r="AA114" i="1"/>
  <c r="Y206" i="1"/>
  <c r="AA206" i="1" s="1"/>
  <c r="Y231" i="1"/>
  <c r="AA231" i="1" s="1"/>
  <c r="Y38" i="1"/>
  <c r="AA38" i="1" s="1"/>
  <c r="Y64" i="1"/>
  <c r="AA64" i="1" s="1"/>
  <c r="Y48" i="1"/>
  <c r="AA48" i="1" s="1"/>
  <c r="AA137" i="1"/>
  <c r="Y137" i="1"/>
  <c r="AA162" i="1"/>
  <c r="Y162" i="1"/>
  <c r="Y220" i="1"/>
  <c r="AA220" i="1" s="1"/>
  <c r="Y165" i="1"/>
  <c r="AA165" i="1" s="1"/>
  <c r="AA37" i="1"/>
  <c r="Y37" i="1"/>
  <c r="AK47" i="1"/>
  <c r="AL47" i="1" s="1"/>
  <c r="AJ47" i="1"/>
  <c r="Y80" i="1"/>
  <c r="AA80" i="1" s="1"/>
  <c r="Y81" i="1"/>
  <c r="AA81" i="1" s="1"/>
  <c r="AA151" i="1"/>
  <c r="Y151" i="1"/>
  <c r="AK183" i="1"/>
  <c r="AL183" i="1" s="1"/>
  <c r="AJ183" i="1"/>
  <c r="Y14" i="1"/>
  <c r="AA14" i="1" s="1"/>
  <c r="Y212" i="1"/>
  <c r="AA212" i="1" s="1"/>
  <c r="AA218" i="1"/>
  <c r="Y218" i="1"/>
  <c r="AA236" i="1"/>
  <c r="Y236" i="1"/>
  <c r="Y19" i="1"/>
  <c r="AA19" i="1" s="1"/>
  <c r="Y95" i="1"/>
  <c r="AA95" i="1" s="1"/>
  <c r="AB130" i="1"/>
  <c r="AC130" i="1" s="1"/>
  <c r="AD130" i="1" s="1"/>
  <c r="Y130" i="1"/>
  <c r="AA130" i="1" s="1"/>
  <c r="AA21" i="1"/>
  <c r="Y21" i="1"/>
  <c r="AA57" i="1"/>
  <c r="Y57" i="1"/>
  <c r="Y92" i="1"/>
  <c r="AA92" i="1" s="1"/>
  <c r="AB197" i="1"/>
  <c r="AC197" i="1" s="1"/>
  <c r="AD197" i="1" s="1"/>
  <c r="AO197" i="1"/>
  <c r="AH197" i="1"/>
  <c r="AO216" i="1"/>
  <c r="AB216" i="1"/>
  <c r="AC216" i="1" s="1"/>
  <c r="AD216" i="1" s="1"/>
  <c r="AH216" i="1"/>
  <c r="AB66" i="1"/>
  <c r="AC66" i="1" s="1"/>
  <c r="AD66" i="1" s="1"/>
  <c r="AH66" i="1"/>
  <c r="AO66" i="1"/>
  <c r="AA246" i="1"/>
  <c r="Y246" i="1"/>
  <c r="Y36" i="1"/>
  <c r="AA36" i="1" s="1"/>
  <c r="AB227" i="1"/>
  <c r="AC227" i="1" s="1"/>
  <c r="AD227" i="1" s="1"/>
  <c r="AO227" i="1"/>
  <c r="AH227" i="1"/>
  <c r="AA113" i="1"/>
  <c r="Y113" i="1"/>
  <c r="Y195" i="1"/>
  <c r="AA195" i="1"/>
  <c r="Y26" i="1"/>
  <c r="AA26" i="1" s="1"/>
  <c r="AA90" i="1"/>
  <c r="Y90" i="1"/>
  <c r="AJ168" i="1"/>
  <c r="AK168" i="1" s="1"/>
  <c r="AL168" i="1" s="1"/>
  <c r="AJ115" i="1"/>
  <c r="AK115" i="1" s="1"/>
  <c r="AL115" i="1" s="1"/>
  <c r="AH110" i="1"/>
  <c r="AB110" i="1"/>
  <c r="AC110" i="1" s="1"/>
  <c r="AD110" i="1" s="1"/>
  <c r="AO110" i="1"/>
  <c r="AB165" i="1" l="1"/>
  <c r="AC165" i="1" s="1"/>
  <c r="AD165" i="1" s="1"/>
  <c r="AH165" i="1"/>
  <c r="AO165" i="1"/>
  <c r="AO38" i="1"/>
  <c r="AH38" i="1"/>
  <c r="AB38" i="1"/>
  <c r="AC38" i="1" s="1"/>
  <c r="AD38" i="1" s="1"/>
  <c r="AH220" i="1"/>
  <c r="AO220" i="1"/>
  <c r="AB220" i="1"/>
  <c r="AC220" i="1" s="1"/>
  <c r="AD220" i="1" s="1"/>
  <c r="AB231" i="1"/>
  <c r="AC231" i="1" s="1"/>
  <c r="AD231" i="1" s="1"/>
  <c r="AH231" i="1"/>
  <c r="AO231" i="1"/>
  <c r="AB202" i="1"/>
  <c r="AC202" i="1" s="1"/>
  <c r="AD202" i="1" s="1"/>
  <c r="AO202" i="1"/>
  <c r="AH202" i="1"/>
  <c r="AO28" i="1"/>
  <c r="AB28" i="1"/>
  <c r="AC28" i="1" s="1"/>
  <c r="AD28" i="1" s="1"/>
  <c r="AH28" i="1"/>
  <c r="AH77" i="1"/>
  <c r="AO77" i="1"/>
  <c r="AB77" i="1"/>
  <c r="AC77" i="1" s="1"/>
  <c r="AD77" i="1" s="1"/>
  <c r="AO10" i="1"/>
  <c r="AB10" i="1"/>
  <c r="AC10" i="1" s="1"/>
  <c r="AD10" i="1" s="1"/>
  <c r="AH10" i="1"/>
  <c r="AB145" i="1"/>
  <c r="AC145" i="1" s="1"/>
  <c r="AD145" i="1" s="1"/>
  <c r="AO145" i="1"/>
  <c r="AH145" i="1"/>
  <c r="AO136" i="1"/>
  <c r="AB136" i="1"/>
  <c r="AC136" i="1" s="1"/>
  <c r="AD136" i="1" s="1"/>
  <c r="AH136" i="1"/>
  <c r="AB13" i="1"/>
  <c r="AC13" i="1" s="1"/>
  <c r="AD13" i="1" s="1"/>
  <c r="AH13" i="1"/>
  <c r="AO13" i="1"/>
  <c r="AH174" i="1"/>
  <c r="AB174" i="1"/>
  <c r="AC174" i="1" s="1"/>
  <c r="AD174" i="1" s="1"/>
  <c r="AO174" i="1"/>
  <c r="AO12" i="1"/>
  <c r="AH12" i="1"/>
  <c r="AB12" i="1"/>
  <c r="AC12" i="1" s="1"/>
  <c r="AD12" i="1" s="1"/>
  <c r="AB81" i="1"/>
  <c r="AC81" i="1" s="1"/>
  <c r="AD81" i="1" s="1"/>
  <c r="AH81" i="1"/>
  <c r="AO81" i="1"/>
  <c r="AB206" i="1"/>
  <c r="AC206" i="1" s="1"/>
  <c r="AD206" i="1" s="1"/>
  <c r="AH206" i="1"/>
  <c r="AO206" i="1"/>
  <c r="AO49" i="1"/>
  <c r="AB49" i="1"/>
  <c r="AC49" i="1" s="1"/>
  <c r="AD49" i="1" s="1"/>
  <c r="AH49" i="1"/>
  <c r="AH62" i="1"/>
  <c r="AO62" i="1"/>
  <c r="AB62" i="1"/>
  <c r="AC62" i="1" s="1"/>
  <c r="AD62" i="1" s="1"/>
  <c r="AB26" i="1"/>
  <c r="AC26" i="1" s="1"/>
  <c r="AD26" i="1" s="1"/>
  <c r="AH26" i="1"/>
  <c r="AO26" i="1"/>
  <c r="AO36" i="1"/>
  <c r="AB36" i="1"/>
  <c r="AC36" i="1" s="1"/>
  <c r="AD36" i="1" s="1"/>
  <c r="AH36" i="1"/>
  <c r="AO80" i="1"/>
  <c r="AB80" i="1"/>
  <c r="AC80" i="1" s="1"/>
  <c r="AD80" i="1" s="1"/>
  <c r="AH80" i="1"/>
  <c r="AB71" i="1"/>
  <c r="AC71" i="1" s="1"/>
  <c r="AD71" i="1" s="1"/>
  <c r="AH71" i="1"/>
  <c r="AO71" i="1"/>
  <c r="AH103" i="1"/>
  <c r="AO103" i="1"/>
  <c r="AB103" i="1"/>
  <c r="AC103" i="1" s="1"/>
  <c r="AD103" i="1" s="1"/>
  <c r="AB89" i="1"/>
  <c r="AC89" i="1" s="1"/>
  <c r="AD89" i="1" s="1"/>
  <c r="AH89" i="1"/>
  <c r="AO89" i="1"/>
  <c r="AB5" i="1"/>
  <c r="AC5" i="1" s="1"/>
  <c r="AD5" i="1" s="1"/>
  <c r="AH5" i="1"/>
  <c r="AO5" i="1"/>
  <c r="AO158" i="1"/>
  <c r="AB158" i="1"/>
  <c r="AC158" i="1" s="1"/>
  <c r="AD158" i="1" s="1"/>
  <c r="AH158" i="1"/>
  <c r="AO171" i="1"/>
  <c r="AH171" i="1"/>
  <c r="AB171" i="1"/>
  <c r="AC171" i="1" s="1"/>
  <c r="AD171" i="1" s="1"/>
  <c r="AH85" i="1"/>
  <c r="AO85" i="1"/>
  <c r="AB85" i="1"/>
  <c r="AC85" i="1" s="1"/>
  <c r="AD85" i="1" s="1"/>
  <c r="AH166" i="1"/>
  <c r="AB166" i="1"/>
  <c r="AC166" i="1" s="1"/>
  <c r="AD166" i="1" s="1"/>
  <c r="AO166" i="1"/>
  <c r="AO148" i="1"/>
  <c r="AB148" i="1"/>
  <c r="AC148" i="1" s="1"/>
  <c r="AD148" i="1" s="1"/>
  <c r="AH148" i="1"/>
  <c r="AH127" i="1"/>
  <c r="AO127" i="1"/>
  <c r="AB127" i="1"/>
  <c r="AC127" i="1" s="1"/>
  <c r="AD127" i="1" s="1"/>
  <c r="AL116" i="1"/>
  <c r="AB100" i="1"/>
  <c r="AC100" i="1" s="1"/>
  <c r="AD100" i="1" s="1"/>
  <c r="AH100" i="1"/>
  <c r="AO100" i="1"/>
  <c r="AO70" i="1"/>
  <c r="AB70" i="1"/>
  <c r="AC70" i="1" s="1"/>
  <c r="AD70" i="1" s="1"/>
  <c r="AH70" i="1"/>
  <c r="AB18" i="1"/>
  <c r="AC18" i="1" s="1"/>
  <c r="AD18" i="1" s="1"/>
  <c r="AE18" i="1" s="1"/>
  <c r="AH18" i="1"/>
  <c r="AO18" i="1"/>
  <c r="AO169" i="1"/>
  <c r="AB169" i="1"/>
  <c r="AC169" i="1" s="1"/>
  <c r="AD169" i="1" s="1"/>
  <c r="AH169" i="1"/>
  <c r="AO130" i="1"/>
  <c r="AH130" i="1"/>
  <c r="AH212" i="1"/>
  <c r="AO212" i="1"/>
  <c r="AB212" i="1"/>
  <c r="AC212" i="1" s="1"/>
  <c r="AD212" i="1" s="1"/>
  <c r="AO111" i="1"/>
  <c r="AH111" i="1"/>
  <c r="AB111" i="1"/>
  <c r="AC111" i="1" s="1"/>
  <c r="AD111" i="1" s="1"/>
  <c r="AB243" i="1"/>
  <c r="AC243" i="1" s="1"/>
  <c r="AD243" i="1" s="1"/>
  <c r="AH243" i="1"/>
  <c r="AO243" i="1"/>
  <c r="AB244" i="1"/>
  <c r="AC244" i="1" s="1"/>
  <c r="AD244" i="1" s="1"/>
  <c r="AH244" i="1"/>
  <c r="AO244" i="1"/>
  <c r="AH182" i="1"/>
  <c r="AO182" i="1"/>
  <c r="AB182" i="1"/>
  <c r="AC182" i="1" s="1"/>
  <c r="AD182" i="1" s="1"/>
  <c r="AB34" i="1"/>
  <c r="AC34" i="1" s="1"/>
  <c r="AD34" i="1" s="1"/>
  <c r="AH34" i="1"/>
  <c r="AO34" i="1"/>
  <c r="AH67" i="1"/>
  <c r="AO67" i="1"/>
  <c r="AB67" i="1"/>
  <c r="AC67" i="1" s="1"/>
  <c r="AD67" i="1" s="1"/>
  <c r="AB56" i="1"/>
  <c r="AC56" i="1" s="1"/>
  <c r="AD56" i="1" s="1"/>
  <c r="AH56" i="1"/>
  <c r="AO56" i="1"/>
  <c r="AL83" i="1"/>
  <c r="AH22" i="1"/>
  <c r="AO22" i="1"/>
  <c r="AB22" i="1"/>
  <c r="AC22" i="1" s="1"/>
  <c r="AD22" i="1" s="1"/>
  <c r="AE22" i="1" s="1"/>
  <c r="AH223" i="1"/>
  <c r="AO223" i="1"/>
  <c r="AB223" i="1"/>
  <c r="AC223" i="1" s="1"/>
  <c r="AD223" i="1" s="1"/>
  <c r="AO242" i="1"/>
  <c r="AB242" i="1"/>
  <c r="AC242" i="1" s="1"/>
  <c r="AD242" i="1" s="1"/>
  <c r="AH242" i="1"/>
  <c r="AB154" i="1"/>
  <c r="AC154" i="1" s="1"/>
  <c r="AD154" i="1" s="1"/>
  <c r="AH154" i="1"/>
  <c r="AO154" i="1"/>
  <c r="AB31" i="1"/>
  <c r="AC31" i="1" s="1"/>
  <c r="AD31" i="1" s="1"/>
  <c r="AH31" i="1"/>
  <c r="AO31" i="1"/>
  <c r="AB92" i="1"/>
  <c r="AC92" i="1" s="1"/>
  <c r="AD92" i="1" s="1"/>
  <c r="AH92" i="1"/>
  <c r="AO92" i="1"/>
  <c r="AH19" i="1"/>
  <c r="AO19" i="1"/>
  <c r="AB19" i="1"/>
  <c r="AC19" i="1" s="1"/>
  <c r="AD19" i="1" s="1"/>
  <c r="AE19" i="1" s="1"/>
  <c r="AB64" i="1"/>
  <c r="AC64" i="1" s="1"/>
  <c r="AD64" i="1" s="1"/>
  <c r="AH64" i="1"/>
  <c r="AO64" i="1"/>
  <c r="AB170" i="1"/>
  <c r="AC170" i="1" s="1"/>
  <c r="AD170" i="1" s="1"/>
  <c r="AO170" i="1"/>
  <c r="AH170" i="1"/>
  <c r="AH146" i="1"/>
  <c r="AO146" i="1"/>
  <c r="AB146" i="1"/>
  <c r="AC146" i="1" s="1"/>
  <c r="AD146" i="1" s="1"/>
  <c r="AH155" i="1"/>
  <c r="AO155" i="1"/>
  <c r="AB155" i="1"/>
  <c r="AC155" i="1" s="1"/>
  <c r="AD155" i="1" s="1"/>
  <c r="AH35" i="1"/>
  <c r="AO35" i="1"/>
  <c r="AB35" i="1"/>
  <c r="AC35" i="1" s="1"/>
  <c r="AD35" i="1" s="1"/>
  <c r="AO20" i="1"/>
  <c r="AB20" i="1"/>
  <c r="AC20" i="1" s="1"/>
  <c r="AD20" i="1" s="1"/>
  <c r="AE20" i="1" s="1"/>
  <c r="AH20" i="1"/>
  <c r="AO55" i="1"/>
  <c r="AB55" i="1"/>
  <c r="AC55" i="1" s="1"/>
  <c r="AD55" i="1" s="1"/>
  <c r="AH55" i="1"/>
  <c r="AO96" i="1"/>
  <c r="AB96" i="1"/>
  <c r="AC96" i="1" s="1"/>
  <c r="AD96" i="1" s="1"/>
  <c r="AH96" i="1"/>
  <c r="AH14" i="1"/>
  <c r="AO14" i="1"/>
  <c r="AB14" i="1"/>
  <c r="AC14" i="1" s="1"/>
  <c r="AD14" i="1" s="1"/>
  <c r="AB126" i="1"/>
  <c r="AC126" i="1" s="1"/>
  <c r="AD126" i="1" s="1"/>
  <c r="AH126" i="1"/>
  <c r="AO126" i="1"/>
  <c r="AH95" i="1"/>
  <c r="AO95" i="1"/>
  <c r="AB95" i="1"/>
  <c r="AC95" i="1" s="1"/>
  <c r="AD95" i="1" s="1"/>
  <c r="AB48" i="1"/>
  <c r="AC48" i="1" s="1"/>
  <c r="AD48" i="1" s="1"/>
  <c r="AH48" i="1"/>
  <c r="AO48" i="1"/>
  <c r="AO101" i="1"/>
  <c r="AB101" i="1"/>
  <c r="AC101" i="1" s="1"/>
  <c r="AD101" i="1" s="1"/>
  <c r="AH101" i="1"/>
  <c r="AB69" i="1"/>
  <c r="AC69" i="1" s="1"/>
  <c r="AD69" i="1" s="1"/>
  <c r="AH69" i="1"/>
  <c r="AO69" i="1"/>
  <c r="AB239" i="1"/>
  <c r="AC239" i="1" s="1"/>
  <c r="AD239" i="1" s="1"/>
  <c r="AH239" i="1"/>
  <c r="AO239" i="1"/>
  <c r="AH124" i="1"/>
  <c r="AO124" i="1"/>
  <c r="AB124" i="1"/>
  <c r="AC124" i="1" s="1"/>
  <c r="AD124" i="1" s="1"/>
  <c r="AH93" i="1"/>
  <c r="AO93" i="1"/>
  <c r="AB93" i="1"/>
  <c r="AC93" i="1" s="1"/>
  <c r="AD93" i="1" s="1"/>
  <c r="AB209" i="1"/>
  <c r="AC209" i="1" s="1"/>
  <c r="AD209" i="1" s="1"/>
  <c r="AH209" i="1"/>
  <c r="AO209" i="1"/>
  <c r="AH160" i="1"/>
  <c r="AO160" i="1"/>
  <c r="AB160" i="1"/>
  <c r="AC160" i="1" s="1"/>
  <c r="AD160" i="1" s="1"/>
  <c r="AO153" i="1"/>
  <c r="AB153" i="1"/>
  <c r="AC153" i="1" s="1"/>
  <c r="AD153" i="1" s="1"/>
  <c r="AH153" i="1"/>
  <c r="AO107" i="1"/>
  <c r="AB107" i="1"/>
  <c r="AC107" i="1" s="1"/>
  <c r="AD107" i="1" s="1"/>
  <c r="AH107" i="1"/>
  <c r="AL180" i="1"/>
  <c r="AB198" i="1"/>
  <c r="AC198" i="1" s="1"/>
  <c r="AD198" i="1" s="1"/>
  <c r="AO198" i="1"/>
  <c r="AH198" i="1"/>
  <c r="AO150" i="1"/>
  <c r="AB150" i="1"/>
  <c r="AC150" i="1" s="1"/>
  <c r="AD150" i="1" s="1"/>
  <c r="AH150" i="1"/>
  <c r="AO2" i="1"/>
  <c r="AB2" i="1"/>
  <c r="AC2" i="1" s="1"/>
  <c r="AD2" i="1" s="1"/>
  <c r="AH2" i="1"/>
  <c r="AO194" i="1"/>
  <c r="AB194" i="1"/>
  <c r="AC194" i="1" s="1"/>
  <c r="AD194" i="1" s="1"/>
  <c r="AH194" i="1"/>
  <c r="AH152" i="1"/>
  <c r="AO152" i="1"/>
  <c r="AB152" i="1"/>
  <c r="AC152" i="1" s="1"/>
  <c r="AD152" i="1" s="1"/>
  <c r="AB189" i="1"/>
  <c r="AC189" i="1" s="1"/>
  <c r="AD189" i="1" s="1"/>
  <c r="AO189" i="1"/>
  <c r="AH189" i="1"/>
  <c r="AH40" i="1"/>
  <c r="AO40" i="1"/>
  <c r="AB40" i="1"/>
  <c r="AC40" i="1" s="1"/>
  <c r="AD40" i="1" s="1"/>
  <c r="AH41" i="1"/>
  <c r="AO41" i="1"/>
  <c r="AB41" i="1"/>
  <c r="AC41" i="1" s="1"/>
  <c r="AD41" i="1" s="1"/>
  <c r="AB192" i="1"/>
  <c r="AC192" i="1" s="1"/>
  <c r="AD192" i="1" s="1"/>
  <c r="AO192" i="1"/>
  <c r="AH192" i="1"/>
  <c r="AH237" i="1"/>
  <c r="AO237" i="1"/>
  <c r="AB237" i="1"/>
  <c r="AC237" i="1" s="1"/>
  <c r="AD237" i="1" s="1"/>
  <c r="AH51" i="1"/>
  <c r="AO51" i="1"/>
  <c r="AB51" i="1"/>
  <c r="AC51" i="1" s="1"/>
  <c r="AD51" i="1" s="1"/>
  <c r="AH245" i="1"/>
  <c r="AO245" i="1"/>
  <c r="AB245" i="1"/>
  <c r="AC245" i="1" s="1"/>
  <c r="AD245" i="1" s="1"/>
  <c r="AL214" i="1"/>
  <c r="AO218" i="1"/>
  <c r="AH218" i="1"/>
  <c r="AB218" i="1"/>
  <c r="AC218" i="1" s="1"/>
  <c r="AD218" i="1" s="1"/>
  <c r="AB84" i="1"/>
  <c r="AC84" i="1" s="1"/>
  <c r="AD84" i="1" s="1"/>
  <c r="AH84" i="1"/>
  <c r="AO84" i="1"/>
  <c r="AJ217" i="1"/>
  <c r="AK217" i="1"/>
  <c r="AL217" i="1" s="1"/>
  <c r="AH132" i="1"/>
  <c r="AO132" i="1"/>
  <c r="AJ110" i="1"/>
  <c r="AK110" i="1" s="1"/>
  <c r="AL110" i="1" s="1"/>
  <c r="AJ66" i="1"/>
  <c r="AK66" i="1" s="1"/>
  <c r="AL66" i="1" s="1"/>
  <c r="AH236" i="1"/>
  <c r="AO236" i="1"/>
  <c r="AB236" i="1"/>
  <c r="AC236" i="1" s="1"/>
  <c r="AD236" i="1" s="1"/>
  <c r="AB162" i="1"/>
  <c r="AC162" i="1" s="1"/>
  <c r="AD162" i="1" s="1"/>
  <c r="AH162" i="1"/>
  <c r="AO162" i="1"/>
  <c r="AH72" i="1"/>
  <c r="AO72" i="1"/>
  <c r="AB72" i="1"/>
  <c r="AC72" i="1" s="1"/>
  <c r="AD72" i="1" s="1"/>
  <c r="AO88" i="1"/>
  <c r="AB88" i="1"/>
  <c r="AC88" i="1" s="1"/>
  <c r="AD88" i="1" s="1"/>
  <c r="AH88" i="1"/>
  <c r="AO33" i="1"/>
  <c r="AB33" i="1"/>
  <c r="AC33" i="1" s="1"/>
  <c r="AD33" i="1" s="1"/>
  <c r="AH33" i="1"/>
  <c r="AO156" i="1"/>
  <c r="AB156" i="1"/>
  <c r="AC156" i="1" s="1"/>
  <c r="AD156" i="1" s="1"/>
  <c r="AH156" i="1"/>
  <c r="AO226" i="1"/>
  <c r="AB226" i="1"/>
  <c r="AC226" i="1" s="1"/>
  <c r="AD226" i="1" s="1"/>
  <c r="AH226" i="1"/>
  <c r="AB181" i="1"/>
  <c r="AC181" i="1" s="1"/>
  <c r="AD181" i="1" s="1"/>
  <c r="AH181" i="1"/>
  <c r="AO181" i="1"/>
  <c r="AO4" i="1"/>
  <c r="AH4" i="1"/>
  <c r="AB4" i="1"/>
  <c r="AC4" i="1" s="1"/>
  <c r="AD4" i="1" s="1"/>
  <c r="AO25" i="1"/>
  <c r="AB25" i="1"/>
  <c r="AC25" i="1" s="1"/>
  <c r="AD25" i="1" s="1"/>
  <c r="AH25" i="1"/>
  <c r="AH54" i="1"/>
  <c r="AO54" i="1"/>
  <c r="AB54" i="1"/>
  <c r="AC54" i="1" s="1"/>
  <c r="AD54" i="1" s="1"/>
  <c r="AH207" i="1"/>
  <c r="AO207" i="1"/>
  <c r="AB207" i="1"/>
  <c r="AC207" i="1" s="1"/>
  <c r="AD207" i="1" s="1"/>
  <c r="AH98" i="1"/>
  <c r="AO98" i="1"/>
  <c r="AB98" i="1"/>
  <c r="AC98" i="1" s="1"/>
  <c r="AD98" i="1" s="1"/>
  <c r="AB39" i="1"/>
  <c r="AC39" i="1" s="1"/>
  <c r="AD39" i="1" s="1"/>
  <c r="AO39" i="1"/>
  <c r="AH39" i="1"/>
  <c r="AB159" i="1"/>
  <c r="AC159" i="1" s="1"/>
  <c r="AD159" i="1" s="1"/>
  <c r="AH159" i="1"/>
  <c r="AO159" i="1"/>
  <c r="AH82" i="1"/>
  <c r="AO82" i="1"/>
  <c r="AB82" i="1"/>
  <c r="AC82" i="1" s="1"/>
  <c r="AD82" i="1" s="1"/>
  <c r="AB225" i="1"/>
  <c r="AC225" i="1" s="1"/>
  <c r="AD225" i="1" s="1"/>
  <c r="AH225" i="1"/>
  <c r="AO225" i="1"/>
  <c r="AH199" i="1"/>
  <c r="AB199" i="1"/>
  <c r="AC199" i="1" s="1"/>
  <c r="AD199" i="1" s="1"/>
  <c r="AO199" i="1"/>
  <c r="AH185" i="1"/>
  <c r="AO185" i="1"/>
  <c r="AB185" i="1"/>
  <c r="AC185" i="1" s="1"/>
  <c r="AD185" i="1" s="1"/>
  <c r="AJ176" i="1"/>
  <c r="AK176" i="1" s="1"/>
  <c r="AL176" i="1" s="1"/>
  <c r="AK144" i="1"/>
  <c r="AL144" i="1" s="1"/>
  <c r="AJ144" i="1"/>
  <c r="AK201" i="1"/>
  <c r="AL201" i="1" s="1"/>
  <c r="AJ201" i="1"/>
  <c r="AJ219" i="1"/>
  <c r="AK219" i="1" s="1"/>
  <c r="AL219" i="1" s="1"/>
  <c r="AK74" i="1"/>
  <c r="AL74" i="1" s="1"/>
  <c r="AJ74" i="1"/>
  <c r="AK216" i="1"/>
  <c r="AL216" i="1" s="1"/>
  <c r="AJ216" i="1"/>
  <c r="AB137" i="1"/>
  <c r="AC137" i="1" s="1"/>
  <c r="AD137" i="1" s="1"/>
  <c r="AH137" i="1"/>
  <c r="AO137" i="1"/>
  <c r="AB173" i="1"/>
  <c r="AC173" i="1" s="1"/>
  <c r="AD173" i="1" s="1"/>
  <c r="AO173" i="1"/>
  <c r="AH173" i="1"/>
  <c r="AB29" i="1"/>
  <c r="AC29" i="1" s="1"/>
  <c r="AD29" i="1" s="1"/>
  <c r="AH29" i="1"/>
  <c r="AO29" i="1"/>
  <c r="AH191" i="1"/>
  <c r="AO191" i="1"/>
  <c r="AB191" i="1"/>
  <c r="AC191" i="1" s="1"/>
  <c r="AD191" i="1" s="1"/>
  <c r="AH147" i="1"/>
  <c r="AO147" i="1"/>
  <c r="AB147" i="1"/>
  <c r="AC147" i="1" s="1"/>
  <c r="AD147" i="1" s="1"/>
  <c r="AH30" i="1"/>
  <c r="AO30" i="1"/>
  <c r="AB30" i="1"/>
  <c r="AC30" i="1" s="1"/>
  <c r="AD30" i="1" s="1"/>
  <c r="AK161" i="1"/>
  <c r="AL161" i="1" s="1"/>
  <c r="AJ161" i="1"/>
  <c r="AJ44" i="1"/>
  <c r="AK44" i="1" s="1"/>
  <c r="AL44" i="1" s="1"/>
  <c r="AK203" i="1"/>
  <c r="AL203" i="1" s="1"/>
  <c r="AJ203" i="1"/>
  <c r="AJ116" i="1"/>
  <c r="AK116" i="1"/>
  <c r="AK214" i="1"/>
  <c r="AJ214" i="1"/>
  <c r="AH119" i="1"/>
  <c r="AO119" i="1"/>
  <c r="AB119" i="1"/>
  <c r="AC119" i="1" s="1"/>
  <c r="AD119" i="1" s="1"/>
  <c r="AJ52" i="1"/>
  <c r="AK52" i="1" s="1"/>
  <c r="AL52" i="1" s="1"/>
  <c r="AJ109" i="1"/>
  <c r="AK109" i="1" s="1"/>
  <c r="AL109" i="1" s="1"/>
  <c r="AJ50" i="1"/>
  <c r="AK50" i="1" s="1"/>
  <c r="AL50" i="1" s="1"/>
  <c r="AK229" i="1"/>
  <c r="AL229" i="1" s="1"/>
  <c r="AJ229" i="1"/>
  <c r="AJ139" i="1"/>
  <c r="AK139" i="1" s="1"/>
  <c r="AL139" i="1" s="1"/>
  <c r="AJ190" i="1"/>
  <c r="AK190" i="1" s="1"/>
  <c r="AL190" i="1" s="1"/>
  <c r="AJ43" i="1"/>
  <c r="AK43" i="1" s="1"/>
  <c r="AL43" i="1" s="1"/>
  <c r="AB37" i="1"/>
  <c r="AC37" i="1" s="1"/>
  <c r="AD37" i="1" s="1"/>
  <c r="AH37" i="1"/>
  <c r="AO37" i="1"/>
  <c r="AO208" i="1"/>
  <c r="AB208" i="1"/>
  <c r="AC208" i="1" s="1"/>
  <c r="AD208" i="1" s="1"/>
  <c r="AH208" i="1"/>
  <c r="AO240" i="1"/>
  <c r="AB240" i="1"/>
  <c r="AC240" i="1" s="1"/>
  <c r="AD240" i="1" s="1"/>
  <c r="AH240" i="1"/>
  <c r="AK141" i="1"/>
  <c r="AL141" i="1" s="1"/>
  <c r="AJ141" i="1"/>
  <c r="AO125" i="1"/>
  <c r="AB125" i="1"/>
  <c r="AC125" i="1" s="1"/>
  <c r="AD125" i="1" s="1"/>
  <c r="AH125" i="1"/>
  <c r="AJ196" i="1"/>
  <c r="AK196" i="1" s="1"/>
  <c r="AL196" i="1" s="1"/>
  <c r="AJ42" i="1"/>
  <c r="AK42" i="1" s="1"/>
  <c r="AL42" i="1" s="1"/>
  <c r="AH187" i="1"/>
  <c r="AB187" i="1"/>
  <c r="AC187" i="1" s="1"/>
  <c r="AD187" i="1" s="1"/>
  <c r="AO187" i="1"/>
  <c r="AJ79" i="1"/>
  <c r="AK79" i="1" s="1"/>
  <c r="AL79" i="1" s="1"/>
  <c r="AK178" i="1"/>
  <c r="AL178" i="1" s="1"/>
  <c r="AJ178" i="1"/>
  <c r="AJ99" i="1"/>
  <c r="AK99" i="1" s="1"/>
  <c r="AL99" i="1" s="1"/>
  <c r="AK222" i="1"/>
  <c r="AL222" i="1" s="1"/>
  <c r="AJ222" i="1"/>
  <c r="AK83" i="1"/>
  <c r="AJ83" i="1"/>
  <c r="AK61" i="1"/>
  <c r="AL61" i="1" s="1"/>
  <c r="AJ61" i="1"/>
  <c r="AJ184" i="1"/>
  <c r="AK184" i="1"/>
  <c r="AL184" i="1" s="1"/>
  <c r="AK45" i="1"/>
  <c r="AL45" i="1" s="1"/>
  <c r="AJ45" i="1"/>
  <c r="AK106" i="1"/>
  <c r="AL106" i="1" s="1"/>
  <c r="AJ106" i="1"/>
  <c r="AK91" i="1"/>
  <c r="AL91" i="1" s="1"/>
  <c r="AJ91" i="1"/>
  <c r="AJ60" i="1"/>
  <c r="AK60" i="1" s="1"/>
  <c r="AL60" i="1" s="1"/>
  <c r="AB94" i="1"/>
  <c r="AC94" i="1" s="1"/>
  <c r="AD94" i="1" s="1"/>
  <c r="AH94" i="1"/>
  <c r="AO94" i="1"/>
  <c r="AO164" i="1"/>
  <c r="AB164" i="1"/>
  <c r="AC164" i="1" s="1"/>
  <c r="AD164" i="1" s="1"/>
  <c r="AH164" i="1"/>
  <c r="AH215" i="1"/>
  <c r="AO215" i="1"/>
  <c r="AB215" i="1"/>
  <c r="AC215" i="1" s="1"/>
  <c r="AD215" i="1" s="1"/>
  <c r="AB113" i="1"/>
  <c r="AC113" i="1" s="1"/>
  <c r="AD113" i="1" s="1"/>
  <c r="AH113" i="1"/>
  <c r="AO113" i="1"/>
  <c r="AO246" i="1"/>
  <c r="AB246" i="1"/>
  <c r="AC246" i="1" s="1"/>
  <c r="AD246" i="1" s="1"/>
  <c r="AH246" i="1"/>
  <c r="AO57" i="1"/>
  <c r="AB57" i="1"/>
  <c r="AC57" i="1" s="1"/>
  <c r="AD57" i="1" s="1"/>
  <c r="AH57" i="1"/>
  <c r="AH114" i="1"/>
  <c r="AO114" i="1"/>
  <c r="AB114" i="1"/>
  <c r="AC114" i="1" s="1"/>
  <c r="AD114" i="1" s="1"/>
  <c r="AO177" i="1"/>
  <c r="AB177" i="1"/>
  <c r="AC177" i="1" s="1"/>
  <c r="AD177" i="1" s="1"/>
  <c r="AH177" i="1"/>
  <c r="AK188" i="1"/>
  <c r="AL188" i="1" s="1"/>
  <c r="AJ188" i="1"/>
  <c r="AH46" i="1"/>
  <c r="AO46" i="1"/>
  <c r="AB46" i="1"/>
  <c r="AC46" i="1" s="1"/>
  <c r="AD46" i="1" s="1"/>
  <c r="AB241" i="1"/>
  <c r="AC241" i="1" s="1"/>
  <c r="AD241" i="1" s="1"/>
  <c r="AH241" i="1"/>
  <c r="AO241" i="1"/>
  <c r="AO105" i="1"/>
  <c r="AB105" i="1"/>
  <c r="AC105" i="1" s="1"/>
  <c r="AD105" i="1" s="1"/>
  <c r="AH105" i="1"/>
  <c r="AB97" i="1"/>
  <c r="AC97" i="1" s="1"/>
  <c r="AD97" i="1" s="1"/>
  <c r="AH97" i="1"/>
  <c r="AO97" i="1"/>
  <c r="AH228" i="1"/>
  <c r="AO228" i="1"/>
  <c r="AB228" i="1"/>
  <c r="AC228" i="1" s="1"/>
  <c r="AD228" i="1" s="1"/>
  <c r="AB11" i="1"/>
  <c r="AC11" i="1" s="1"/>
  <c r="AD11" i="1" s="1"/>
  <c r="AH11" i="1"/>
  <c r="AO11" i="1"/>
  <c r="AO117" i="1"/>
  <c r="AB117" i="1"/>
  <c r="AC117" i="1" s="1"/>
  <c r="AD117" i="1" s="1"/>
  <c r="AH117" i="1"/>
  <c r="AO122" i="1"/>
  <c r="AB122" i="1"/>
  <c r="AC122" i="1" s="1"/>
  <c r="AD122" i="1" s="1"/>
  <c r="AH122" i="1"/>
  <c r="AB157" i="1"/>
  <c r="AC157" i="1" s="1"/>
  <c r="AD157" i="1" s="1"/>
  <c r="AH157" i="1"/>
  <c r="AO157" i="1"/>
  <c r="AO204" i="1"/>
  <c r="AH204" i="1"/>
  <c r="AB204" i="1"/>
  <c r="AC204" i="1" s="1"/>
  <c r="AD204" i="1" s="1"/>
  <c r="AO186" i="1"/>
  <c r="AH186" i="1"/>
  <c r="AB186" i="1"/>
  <c r="AC186" i="1" s="1"/>
  <c r="AD186" i="1" s="1"/>
  <c r="AH163" i="1"/>
  <c r="AO163" i="1"/>
  <c r="AB163" i="1"/>
  <c r="AC163" i="1" s="1"/>
  <c r="AD163" i="1" s="1"/>
  <c r="AJ133" i="1"/>
  <c r="AK133" i="1" s="1"/>
  <c r="AL133" i="1" s="1"/>
  <c r="AH6" i="1"/>
  <c r="AO6" i="1"/>
  <c r="AB6" i="1"/>
  <c r="AC6" i="1" s="1"/>
  <c r="AD6" i="1" s="1"/>
  <c r="AB8" i="1"/>
  <c r="AC8" i="1" s="1"/>
  <c r="AD8" i="1" s="1"/>
  <c r="AH8" i="1"/>
  <c r="AO8" i="1"/>
  <c r="AH59" i="1"/>
  <c r="AO59" i="1"/>
  <c r="AB59" i="1"/>
  <c r="AC59" i="1" s="1"/>
  <c r="AD59" i="1" s="1"/>
  <c r="AB102" i="1"/>
  <c r="AC102" i="1" s="1"/>
  <c r="AD102" i="1" s="1"/>
  <c r="AH102" i="1"/>
  <c r="AO102" i="1"/>
  <c r="AB24" i="1"/>
  <c r="AC24" i="1" s="1"/>
  <c r="AD24" i="1" s="1"/>
  <c r="AH24" i="1"/>
  <c r="AO24" i="1"/>
  <c r="AB121" i="1"/>
  <c r="AC121" i="1" s="1"/>
  <c r="AD121" i="1" s="1"/>
  <c r="AH121" i="1"/>
  <c r="AO121" i="1"/>
  <c r="AO7" i="1"/>
  <c r="AB7" i="1"/>
  <c r="AC7" i="1" s="1"/>
  <c r="AD7" i="1" s="1"/>
  <c r="AH7" i="1"/>
  <c r="AO138" i="1"/>
  <c r="AB138" i="1"/>
  <c r="AC138" i="1" s="1"/>
  <c r="AD138" i="1" s="1"/>
  <c r="AH138" i="1"/>
  <c r="AO17" i="1"/>
  <c r="AH17" i="1"/>
  <c r="AB17" i="1"/>
  <c r="AC17" i="1" s="1"/>
  <c r="AD17" i="1" s="1"/>
  <c r="AE17" i="1" s="1"/>
  <c r="AJ179" i="1"/>
  <c r="AK179" i="1" s="1"/>
  <c r="AL179" i="1" s="1"/>
  <c r="AK58" i="1"/>
  <c r="AL58" i="1" s="1"/>
  <c r="AJ58" i="1"/>
  <c r="AK104" i="1"/>
  <c r="AL104" i="1" s="1"/>
  <c r="AJ104" i="1"/>
  <c r="AJ76" i="1"/>
  <c r="AK76" i="1" s="1"/>
  <c r="AL76" i="1" s="1"/>
  <c r="AK200" i="1"/>
  <c r="AL200" i="1" s="1"/>
  <c r="AJ200" i="1"/>
  <c r="AK123" i="1"/>
  <c r="AL123" i="1" s="1"/>
  <c r="AJ123" i="1"/>
  <c r="AB151" i="1"/>
  <c r="AC151" i="1" s="1"/>
  <c r="AD151" i="1" s="1"/>
  <c r="AH151" i="1"/>
  <c r="AO151" i="1"/>
  <c r="AB16" i="1"/>
  <c r="AC16" i="1" s="1"/>
  <c r="AD16" i="1" s="1"/>
  <c r="AE16" i="1" s="1"/>
  <c r="AH16" i="1"/>
  <c r="AO16" i="1"/>
  <c r="AH135" i="1"/>
  <c r="AO135" i="1"/>
  <c r="AB135" i="1"/>
  <c r="AC135" i="1" s="1"/>
  <c r="AD135" i="1" s="1"/>
  <c r="AH9" i="1"/>
  <c r="AO9" i="1"/>
  <c r="AB9" i="1"/>
  <c r="AC9" i="1" s="1"/>
  <c r="AD9" i="1" s="1"/>
  <c r="AB233" i="1"/>
  <c r="AC233" i="1" s="1"/>
  <c r="AD233" i="1" s="1"/>
  <c r="AH233" i="1"/>
  <c r="AO233" i="1"/>
  <c r="AO65" i="1"/>
  <c r="AB65" i="1"/>
  <c r="AC65" i="1" s="1"/>
  <c r="AD65" i="1" s="1"/>
  <c r="AH65" i="1"/>
  <c r="AH129" i="1"/>
  <c r="AO129" i="1"/>
  <c r="AJ172" i="1"/>
  <c r="AK172" i="1"/>
  <c r="AL172" i="1" s="1"/>
  <c r="AK227" i="1"/>
  <c r="AL227" i="1" s="1"/>
  <c r="AJ227" i="1"/>
  <c r="AJ197" i="1"/>
  <c r="AK197" i="1"/>
  <c r="AL197" i="1" s="1"/>
  <c r="AJ193" i="1"/>
  <c r="AK193" i="1" s="1"/>
  <c r="AL193" i="1" s="1"/>
  <c r="AJ211" i="1"/>
  <c r="AK211" i="1" s="1"/>
  <c r="AL211" i="1" s="1"/>
  <c r="AJ143" i="1"/>
  <c r="AK143" i="1" s="1"/>
  <c r="AL143" i="1" s="1"/>
  <c r="AJ73" i="1"/>
  <c r="AK73" i="1" s="1"/>
  <c r="AL73" i="1" s="1"/>
  <c r="AJ120" i="1"/>
  <c r="AK120" i="1" s="1"/>
  <c r="AL120" i="1" s="1"/>
  <c r="AJ23" i="1"/>
  <c r="AK23" i="1" s="1"/>
  <c r="AL23" i="1" s="1"/>
  <c r="AJ87" i="1"/>
  <c r="AK87" i="1" s="1"/>
  <c r="AL87" i="1" s="1"/>
  <c r="AJ53" i="1"/>
  <c r="AK53" i="1" s="1"/>
  <c r="AL53" i="1" s="1"/>
  <c r="AH195" i="1"/>
  <c r="AB195" i="1"/>
  <c r="AC195" i="1" s="1"/>
  <c r="AD195" i="1" s="1"/>
  <c r="AO195" i="1"/>
  <c r="AH90" i="1"/>
  <c r="AO90" i="1"/>
  <c r="AB90" i="1"/>
  <c r="AC90" i="1" s="1"/>
  <c r="AD90" i="1" s="1"/>
  <c r="AB21" i="1"/>
  <c r="AC21" i="1" s="1"/>
  <c r="AD21" i="1" s="1"/>
  <c r="AE21" i="1" s="1"/>
  <c r="AH21" i="1"/>
  <c r="AO21" i="1"/>
  <c r="AK232" i="1"/>
  <c r="AL232" i="1" s="1"/>
  <c r="AJ232" i="1"/>
  <c r="AJ128" i="1"/>
  <c r="AK128" i="1" s="1"/>
  <c r="AL128" i="1" s="1"/>
  <c r="AO230" i="1"/>
  <c r="AB230" i="1"/>
  <c r="AC230" i="1" s="1"/>
  <c r="AD230" i="1" s="1"/>
  <c r="AH230" i="1"/>
  <c r="AO15" i="1"/>
  <c r="AB15" i="1"/>
  <c r="AC15" i="1" s="1"/>
  <c r="AD15" i="1" s="1"/>
  <c r="AH15" i="1"/>
  <c r="AB235" i="1"/>
  <c r="AC235" i="1" s="1"/>
  <c r="AD235" i="1" s="1"/>
  <c r="AH235" i="1"/>
  <c r="AO235" i="1"/>
  <c r="AO224" i="1"/>
  <c r="AB224" i="1"/>
  <c r="AC224" i="1" s="1"/>
  <c r="AD224" i="1" s="1"/>
  <c r="AH224" i="1"/>
  <c r="AH32" i="1"/>
  <c r="AO32" i="1"/>
  <c r="AB32" i="1"/>
  <c r="AC32" i="1" s="1"/>
  <c r="AD32" i="1" s="1"/>
  <c r="AO140" i="1"/>
  <c r="AB140" i="1"/>
  <c r="AC140" i="1" s="1"/>
  <c r="AD140" i="1" s="1"/>
  <c r="AH140" i="1"/>
  <c r="AB3" i="1"/>
  <c r="AC3" i="1" s="1"/>
  <c r="AD3" i="1" s="1"/>
  <c r="AH3" i="1"/>
  <c r="AO3" i="1"/>
  <c r="AB149" i="1"/>
  <c r="AC149" i="1" s="1"/>
  <c r="AD149" i="1" s="1"/>
  <c r="AH149" i="1"/>
  <c r="AO149" i="1"/>
  <c r="AB108" i="1"/>
  <c r="AC108" i="1" s="1"/>
  <c r="AD108" i="1" s="1"/>
  <c r="AO108" i="1"/>
  <c r="AH108" i="1"/>
  <c r="AO221" i="1"/>
  <c r="AH221" i="1"/>
  <c r="AB221" i="1"/>
  <c r="AC221" i="1" s="1"/>
  <c r="AD221" i="1" s="1"/>
  <c r="AH134" i="1"/>
  <c r="AO134" i="1"/>
  <c r="AH27" i="1"/>
  <c r="AO27" i="1"/>
  <c r="AB27" i="1"/>
  <c r="AC27" i="1" s="1"/>
  <c r="AD27" i="1" s="1"/>
  <c r="AO234" i="1"/>
  <c r="AB234" i="1"/>
  <c r="AC234" i="1" s="1"/>
  <c r="AD234" i="1" s="1"/>
  <c r="AH234" i="1"/>
  <c r="AO213" i="1"/>
  <c r="AB213" i="1"/>
  <c r="AC213" i="1" s="1"/>
  <c r="AD213" i="1" s="1"/>
  <c r="AH213" i="1"/>
  <c r="AO210" i="1"/>
  <c r="AB210" i="1"/>
  <c r="AC210" i="1" s="1"/>
  <c r="AD210" i="1" s="1"/>
  <c r="AH210" i="1"/>
  <c r="AK167" i="1"/>
  <c r="AL167" i="1" s="1"/>
  <c r="AJ167" i="1"/>
  <c r="AJ238" i="1"/>
  <c r="AK238" i="1" s="1"/>
  <c r="AL238" i="1" s="1"/>
  <c r="AK180" i="1"/>
  <c r="AJ180" i="1"/>
  <c r="AL32" i="1" l="1"/>
  <c r="AL235" i="1"/>
  <c r="AL160" i="1"/>
  <c r="AL30" i="1"/>
  <c r="AL136" i="1"/>
  <c r="AL202" i="1"/>
  <c r="AL15" i="1"/>
  <c r="AL171" i="1"/>
  <c r="AL226" i="1"/>
  <c r="AL236" i="1"/>
  <c r="AL208" i="1"/>
  <c r="AL92" i="1"/>
  <c r="AL54" i="1"/>
  <c r="AL28" i="1"/>
  <c r="AK9" i="1"/>
  <c r="AL9" i="1" s="1"/>
  <c r="AJ9" i="1"/>
  <c r="AK210" i="1"/>
  <c r="AL210" i="1" s="1"/>
  <c r="AJ210" i="1"/>
  <c r="AJ234" i="1"/>
  <c r="AK234" i="1" s="1"/>
  <c r="AL234" i="1" s="1"/>
  <c r="AJ108" i="1"/>
  <c r="AK108" i="1" s="1"/>
  <c r="AL108" i="1" s="1"/>
  <c r="AK235" i="1"/>
  <c r="AJ235" i="1"/>
  <c r="AK230" i="1"/>
  <c r="AL230" i="1" s="1"/>
  <c r="AJ230" i="1"/>
  <c r="AK7" i="1"/>
  <c r="AL7" i="1" s="1"/>
  <c r="AJ7" i="1"/>
  <c r="AJ11" i="1"/>
  <c r="AK11" i="1" s="1"/>
  <c r="AL11" i="1" s="1"/>
  <c r="AK97" i="1"/>
  <c r="AL97" i="1" s="1"/>
  <c r="AJ97" i="1"/>
  <c r="AK177" i="1"/>
  <c r="AL177" i="1" s="1"/>
  <c r="AJ177" i="1"/>
  <c r="AK57" i="1"/>
  <c r="AL57" i="1" s="1"/>
  <c r="AJ57" i="1"/>
  <c r="AK164" i="1"/>
  <c r="AL164" i="1" s="1"/>
  <c r="AJ164" i="1"/>
  <c r="AK208" i="1"/>
  <c r="AJ208" i="1"/>
  <c r="AK226" i="1"/>
  <c r="AJ226" i="1"/>
  <c r="AK33" i="1"/>
  <c r="AL33" i="1" s="1"/>
  <c r="AJ33" i="1"/>
  <c r="AK192" i="1"/>
  <c r="AL192" i="1" s="1"/>
  <c r="AJ192" i="1"/>
  <c r="AK124" i="1"/>
  <c r="AL124" i="1" s="1"/>
  <c r="AJ124" i="1"/>
  <c r="AJ69" i="1"/>
  <c r="AK69" i="1" s="1"/>
  <c r="AL69" i="1" s="1"/>
  <c r="AK35" i="1"/>
  <c r="AL35" i="1" s="1"/>
  <c r="AJ35" i="1"/>
  <c r="AK146" i="1"/>
  <c r="AL146" i="1" s="1"/>
  <c r="AJ146" i="1"/>
  <c r="AK154" i="1"/>
  <c r="AL154" i="1" s="1"/>
  <c r="AJ154" i="1"/>
  <c r="AK212" i="1"/>
  <c r="AL212" i="1" s="1"/>
  <c r="AJ212" i="1"/>
  <c r="AK89" i="1"/>
  <c r="AL89" i="1" s="1"/>
  <c r="AJ89" i="1"/>
  <c r="AK71" i="1"/>
  <c r="AL71" i="1" s="1"/>
  <c r="AJ71" i="1"/>
  <c r="AK36" i="1"/>
  <c r="AL36" i="1" s="1"/>
  <c r="AJ36" i="1"/>
  <c r="AK38" i="1"/>
  <c r="AL38" i="1" s="1"/>
  <c r="AJ38" i="1"/>
  <c r="AJ14" i="1"/>
  <c r="AK14" i="1" s="1"/>
  <c r="AL14" i="1" s="1"/>
  <c r="AK182" i="1"/>
  <c r="AL182" i="1" s="1"/>
  <c r="AJ182" i="1"/>
  <c r="AK28" i="1"/>
  <c r="AJ28" i="1"/>
  <c r="AJ3" i="1"/>
  <c r="AK3" i="1" s="1"/>
  <c r="AL3" i="1" s="1"/>
  <c r="AK21" i="1"/>
  <c r="AL21" i="1" s="1"/>
  <c r="AJ21" i="1"/>
  <c r="AJ233" i="1"/>
  <c r="AK233" i="1" s="1"/>
  <c r="AL233" i="1" s="1"/>
  <c r="AK151" i="1"/>
  <c r="AL151" i="1" s="1"/>
  <c r="AJ151" i="1"/>
  <c r="AK17" i="1"/>
  <c r="AL17" i="1" s="1"/>
  <c r="AJ17" i="1"/>
  <c r="AK163" i="1"/>
  <c r="AL163" i="1" s="1"/>
  <c r="AJ163" i="1"/>
  <c r="AK187" i="1"/>
  <c r="AL187" i="1" s="1"/>
  <c r="AJ187" i="1"/>
  <c r="AK119" i="1"/>
  <c r="AL119" i="1" s="1"/>
  <c r="AJ119" i="1"/>
  <c r="AK159" i="1"/>
  <c r="AL159" i="1" s="1"/>
  <c r="AJ159" i="1"/>
  <c r="AK4" i="1"/>
  <c r="AL4" i="1" s="1"/>
  <c r="AJ4" i="1"/>
  <c r="AK51" i="1"/>
  <c r="AL51" i="1" s="1"/>
  <c r="AJ51" i="1"/>
  <c r="AJ48" i="1"/>
  <c r="AK48" i="1" s="1"/>
  <c r="AL48" i="1" s="1"/>
  <c r="AK126" i="1"/>
  <c r="AL126" i="1" s="1"/>
  <c r="AJ126" i="1"/>
  <c r="AK96" i="1"/>
  <c r="AL96" i="1" s="1"/>
  <c r="AJ96" i="1"/>
  <c r="AK20" i="1"/>
  <c r="AL20" i="1" s="1"/>
  <c r="AJ20" i="1"/>
  <c r="AJ170" i="1"/>
  <c r="AK170" i="1" s="1"/>
  <c r="AL170" i="1" s="1"/>
  <c r="AK223" i="1"/>
  <c r="AL223" i="1" s="1"/>
  <c r="AJ223" i="1"/>
  <c r="AJ111" i="1"/>
  <c r="AK111" i="1" s="1"/>
  <c r="AL111" i="1" s="1"/>
  <c r="AK130" i="1"/>
  <c r="AL130" i="1" s="1"/>
  <c r="AJ130" i="1"/>
  <c r="AK18" i="1"/>
  <c r="AL18" i="1" s="1"/>
  <c r="AJ18" i="1"/>
  <c r="AJ231" i="1"/>
  <c r="AK231" i="1" s="1"/>
  <c r="AL231" i="1" s="1"/>
  <c r="AJ27" i="1"/>
  <c r="AK27" i="1" s="1"/>
  <c r="AL27" i="1" s="1"/>
  <c r="AK114" i="1"/>
  <c r="AL114" i="1" s="1"/>
  <c r="AJ114" i="1"/>
  <c r="AK30" i="1"/>
  <c r="AJ30" i="1"/>
  <c r="AJ209" i="1"/>
  <c r="AK209" i="1" s="1"/>
  <c r="AL209" i="1" s="1"/>
  <c r="AJ64" i="1"/>
  <c r="AK64" i="1" s="1"/>
  <c r="AL64" i="1" s="1"/>
  <c r="AK134" i="1"/>
  <c r="AL134" i="1" s="1"/>
  <c r="AJ134" i="1"/>
  <c r="AK32" i="1"/>
  <c r="AJ32" i="1"/>
  <c r="AK195" i="1"/>
  <c r="AL195" i="1" s="1"/>
  <c r="AJ195" i="1"/>
  <c r="AJ24" i="1"/>
  <c r="AK24" i="1"/>
  <c r="AL24" i="1" s="1"/>
  <c r="AJ117" i="1"/>
  <c r="AK117" i="1" s="1"/>
  <c r="AL117" i="1" s="1"/>
  <c r="AJ105" i="1"/>
  <c r="AK105" i="1" s="1"/>
  <c r="AL105" i="1" s="1"/>
  <c r="AJ113" i="1"/>
  <c r="AK113" i="1" s="1"/>
  <c r="AL113" i="1" s="1"/>
  <c r="AJ29" i="1"/>
  <c r="AK29" i="1" s="1"/>
  <c r="AL29" i="1" s="1"/>
  <c r="AJ137" i="1"/>
  <c r="AK137" i="1"/>
  <c r="AL137" i="1" s="1"/>
  <c r="AJ225" i="1"/>
  <c r="AK225" i="1"/>
  <c r="AL225" i="1" s="1"/>
  <c r="AJ132" i="1"/>
  <c r="AK132" i="1" s="1"/>
  <c r="AL132" i="1" s="1"/>
  <c r="AJ218" i="1"/>
  <c r="AK218" i="1" s="1"/>
  <c r="AL218" i="1" s="1"/>
  <c r="AJ2" i="1"/>
  <c r="AK2" i="1" s="1"/>
  <c r="AL2" i="1" s="1"/>
  <c r="AJ198" i="1"/>
  <c r="AK198" i="1"/>
  <c r="AL198" i="1" s="1"/>
  <c r="AJ107" i="1"/>
  <c r="AK107" i="1" s="1"/>
  <c r="AL107" i="1" s="1"/>
  <c r="AJ242" i="1"/>
  <c r="AK242" i="1" s="1"/>
  <c r="AL242" i="1" s="1"/>
  <c r="AJ56" i="1"/>
  <c r="AK56" i="1" s="1"/>
  <c r="AL56" i="1" s="1"/>
  <c r="AK34" i="1"/>
  <c r="AL34" i="1" s="1"/>
  <c r="AJ34" i="1"/>
  <c r="AK244" i="1"/>
  <c r="AL244" i="1" s="1"/>
  <c r="AJ244" i="1"/>
  <c r="AK85" i="1"/>
  <c r="AL85" i="1" s="1"/>
  <c r="AJ85" i="1"/>
  <c r="AK174" i="1"/>
  <c r="AL174" i="1" s="1"/>
  <c r="AJ174" i="1"/>
  <c r="AK10" i="1"/>
  <c r="AL10" i="1" s="1"/>
  <c r="AJ10" i="1"/>
  <c r="AK140" i="1"/>
  <c r="AL140" i="1" s="1"/>
  <c r="AJ140" i="1"/>
  <c r="AK224" i="1"/>
  <c r="AL224" i="1" s="1"/>
  <c r="AJ224" i="1"/>
  <c r="AK15" i="1"/>
  <c r="AJ15" i="1"/>
  <c r="AJ129" i="1"/>
  <c r="AK129" i="1" s="1"/>
  <c r="AL129" i="1" s="1"/>
  <c r="AK135" i="1"/>
  <c r="AL135" i="1" s="1"/>
  <c r="AJ135" i="1"/>
  <c r="AJ59" i="1"/>
  <c r="AK59" i="1" s="1"/>
  <c r="AL59" i="1" s="1"/>
  <c r="AJ6" i="1"/>
  <c r="AK6" i="1" s="1"/>
  <c r="AL6" i="1" s="1"/>
  <c r="AK147" i="1"/>
  <c r="AL147" i="1" s="1"/>
  <c r="AJ147" i="1"/>
  <c r="AJ185" i="1"/>
  <c r="AK185" i="1" s="1"/>
  <c r="AL185" i="1" s="1"/>
  <c r="AK98" i="1"/>
  <c r="AL98" i="1" s="1"/>
  <c r="AJ98" i="1"/>
  <c r="AK54" i="1"/>
  <c r="AJ54" i="1"/>
  <c r="AK72" i="1"/>
  <c r="AL72" i="1" s="1"/>
  <c r="AJ72" i="1"/>
  <c r="AK236" i="1"/>
  <c r="AJ236" i="1"/>
  <c r="AJ40" i="1"/>
  <c r="AK40" i="1" s="1"/>
  <c r="AL40" i="1" s="1"/>
  <c r="AK152" i="1"/>
  <c r="AL152" i="1" s="1"/>
  <c r="AJ152" i="1"/>
  <c r="AJ239" i="1"/>
  <c r="AK239" i="1" s="1"/>
  <c r="AL239" i="1" s="1"/>
  <c r="AK101" i="1"/>
  <c r="AL101" i="1" s="1"/>
  <c r="AJ101" i="1"/>
  <c r="AK31" i="1"/>
  <c r="AL31" i="1" s="1"/>
  <c r="AJ31" i="1"/>
  <c r="AJ100" i="1"/>
  <c r="AK100" i="1" s="1"/>
  <c r="AL100" i="1" s="1"/>
  <c r="AK62" i="1"/>
  <c r="AL62" i="1" s="1"/>
  <c r="AJ62" i="1"/>
  <c r="AJ206" i="1"/>
  <c r="AK206" i="1" s="1"/>
  <c r="AL206" i="1" s="1"/>
  <c r="AK145" i="1"/>
  <c r="AL145" i="1" s="1"/>
  <c r="AJ145" i="1"/>
  <c r="AK202" i="1"/>
  <c r="AJ202" i="1"/>
  <c r="AK204" i="1"/>
  <c r="AL204" i="1" s="1"/>
  <c r="AJ204" i="1"/>
  <c r="AK215" i="1"/>
  <c r="AL215" i="1" s="1"/>
  <c r="AJ215" i="1"/>
  <c r="AK237" i="1"/>
  <c r="AL237" i="1" s="1"/>
  <c r="AJ237" i="1"/>
  <c r="AK136" i="1"/>
  <c r="AJ136" i="1"/>
  <c r="AK213" i="1"/>
  <c r="AL213" i="1" s="1"/>
  <c r="AJ213" i="1"/>
  <c r="AK221" i="1"/>
  <c r="AL221" i="1" s="1"/>
  <c r="AJ221" i="1"/>
  <c r="AK65" i="1"/>
  <c r="AL65" i="1" s="1"/>
  <c r="AJ65" i="1"/>
  <c r="AK138" i="1"/>
  <c r="AL138" i="1" s="1"/>
  <c r="AJ138" i="1"/>
  <c r="AK186" i="1"/>
  <c r="AL186" i="1" s="1"/>
  <c r="AJ186" i="1"/>
  <c r="AJ157" i="1"/>
  <c r="AK157" i="1" s="1"/>
  <c r="AL157" i="1" s="1"/>
  <c r="AK246" i="1"/>
  <c r="AL246" i="1" s="1"/>
  <c r="AJ246" i="1"/>
  <c r="AK240" i="1"/>
  <c r="AL240" i="1" s="1"/>
  <c r="AJ240" i="1"/>
  <c r="AK173" i="1"/>
  <c r="AL173" i="1" s="1"/>
  <c r="AJ173" i="1"/>
  <c r="AK39" i="1"/>
  <c r="AL39" i="1" s="1"/>
  <c r="AJ39" i="1"/>
  <c r="AK25" i="1"/>
  <c r="AL25" i="1" s="1"/>
  <c r="AJ25" i="1"/>
  <c r="AK156" i="1"/>
  <c r="AL156" i="1" s="1"/>
  <c r="AJ156" i="1"/>
  <c r="AK88" i="1"/>
  <c r="AL88" i="1" s="1"/>
  <c r="AJ88" i="1"/>
  <c r="AJ189" i="1"/>
  <c r="AK189" i="1" s="1"/>
  <c r="AL189" i="1" s="1"/>
  <c r="AK160" i="1"/>
  <c r="AJ160" i="1"/>
  <c r="AK93" i="1"/>
  <c r="AL93" i="1" s="1"/>
  <c r="AJ93" i="1"/>
  <c r="AK155" i="1"/>
  <c r="AL155" i="1" s="1"/>
  <c r="AJ155" i="1"/>
  <c r="AJ19" i="1"/>
  <c r="AK19" i="1" s="1"/>
  <c r="AL19" i="1" s="1"/>
  <c r="AK171" i="1"/>
  <c r="AJ171" i="1"/>
  <c r="AK5" i="1"/>
  <c r="AL5" i="1" s="1"/>
  <c r="AJ5" i="1"/>
  <c r="AK80" i="1"/>
  <c r="AL80" i="1" s="1"/>
  <c r="AJ80" i="1"/>
  <c r="AK12" i="1"/>
  <c r="AL12" i="1" s="1"/>
  <c r="AJ12" i="1"/>
  <c r="AK13" i="1"/>
  <c r="AL13" i="1" s="1"/>
  <c r="AJ13" i="1"/>
  <c r="AJ241" i="1"/>
  <c r="AK241" i="1" s="1"/>
  <c r="AL241" i="1" s="1"/>
  <c r="AK82" i="1"/>
  <c r="AL82" i="1" s="1"/>
  <c r="AJ82" i="1"/>
  <c r="AJ207" i="1"/>
  <c r="AK207" i="1" s="1"/>
  <c r="AL207" i="1" s="1"/>
  <c r="AK84" i="1"/>
  <c r="AL84" i="1" s="1"/>
  <c r="AJ84" i="1"/>
  <c r="AK92" i="1"/>
  <c r="AJ92" i="1"/>
  <c r="AK67" i="1"/>
  <c r="AL67" i="1" s="1"/>
  <c r="AJ67" i="1"/>
  <c r="AK148" i="1"/>
  <c r="AL148" i="1" s="1"/>
  <c r="AJ148" i="1"/>
  <c r="AK158" i="1"/>
  <c r="AL158" i="1" s="1"/>
  <c r="AJ158" i="1"/>
  <c r="AJ149" i="1"/>
  <c r="AK149" i="1" s="1"/>
  <c r="AL149" i="1" s="1"/>
  <c r="AJ102" i="1"/>
  <c r="AK102" i="1" s="1"/>
  <c r="AL102" i="1" s="1"/>
  <c r="AJ228" i="1"/>
  <c r="AK228" i="1" s="1"/>
  <c r="AL228" i="1" s="1"/>
  <c r="AJ46" i="1"/>
  <c r="AK46" i="1" s="1"/>
  <c r="AL46" i="1" s="1"/>
  <c r="AJ94" i="1"/>
  <c r="AK94" i="1" s="1"/>
  <c r="AL94" i="1" s="1"/>
  <c r="AJ245" i="1"/>
  <c r="AK245" i="1" s="1"/>
  <c r="AL245" i="1" s="1"/>
  <c r="AJ153" i="1"/>
  <c r="AK153" i="1" s="1"/>
  <c r="AL153" i="1" s="1"/>
  <c r="AJ55" i="1"/>
  <c r="AK55" i="1" s="1"/>
  <c r="AL55" i="1" s="1"/>
  <c r="AJ22" i="1"/>
  <c r="AK22" i="1" s="1"/>
  <c r="AL22" i="1" s="1"/>
  <c r="AJ243" i="1"/>
  <c r="AK243" i="1" s="1"/>
  <c r="AL243" i="1" s="1"/>
  <c r="AJ169" i="1"/>
  <c r="AK169" i="1"/>
  <c r="AL169" i="1" s="1"/>
  <c r="AJ70" i="1"/>
  <c r="AK70" i="1" s="1"/>
  <c r="AL70" i="1" s="1"/>
  <c r="AJ26" i="1"/>
  <c r="AK26" i="1" s="1"/>
  <c r="AL26" i="1" s="1"/>
  <c r="AJ49" i="1"/>
  <c r="AK49" i="1" s="1"/>
  <c r="AL49" i="1" s="1"/>
  <c r="AJ165" i="1"/>
  <c r="AK165" i="1"/>
  <c r="AL165" i="1" s="1"/>
  <c r="AJ90" i="1"/>
  <c r="AK90" i="1" s="1"/>
  <c r="AL90" i="1" s="1"/>
  <c r="AJ16" i="1"/>
  <c r="AK16" i="1" s="1"/>
  <c r="AL16" i="1" s="1"/>
  <c r="AJ121" i="1"/>
  <c r="AK121" i="1" s="1"/>
  <c r="AL121" i="1" s="1"/>
  <c r="AJ8" i="1"/>
  <c r="AK8" i="1" s="1"/>
  <c r="AL8" i="1" s="1"/>
  <c r="AJ122" i="1"/>
  <c r="AK122" i="1" s="1"/>
  <c r="AL122" i="1" s="1"/>
  <c r="AJ125" i="1"/>
  <c r="AK125" i="1" s="1"/>
  <c r="AL125" i="1" s="1"/>
  <c r="AJ37" i="1"/>
  <c r="AK37" i="1"/>
  <c r="AL37" i="1" s="1"/>
  <c r="AJ191" i="1"/>
  <c r="AK191" i="1"/>
  <c r="AL191" i="1" s="1"/>
  <c r="AJ199" i="1"/>
  <c r="AK199" i="1" s="1"/>
  <c r="AL199" i="1" s="1"/>
  <c r="AJ181" i="1"/>
  <c r="AK181" i="1" s="1"/>
  <c r="AL181" i="1" s="1"/>
  <c r="AJ162" i="1"/>
  <c r="AK162" i="1" s="1"/>
  <c r="AL162" i="1" s="1"/>
  <c r="AJ41" i="1"/>
  <c r="AK41" i="1" s="1"/>
  <c r="AL41" i="1" s="1"/>
  <c r="AJ194" i="1"/>
  <c r="AK194" i="1" s="1"/>
  <c r="AL194" i="1" s="1"/>
  <c r="AJ150" i="1"/>
  <c r="AK150" i="1" s="1"/>
  <c r="AL150" i="1" s="1"/>
  <c r="AJ95" i="1"/>
  <c r="AK95" i="1" s="1"/>
  <c r="AL95" i="1" s="1"/>
  <c r="AJ127" i="1"/>
  <c r="AK127" i="1" s="1"/>
  <c r="AL127" i="1" s="1"/>
  <c r="AJ166" i="1"/>
  <c r="AK166" i="1" s="1"/>
  <c r="AL166" i="1" s="1"/>
  <c r="AJ103" i="1"/>
  <c r="AK103" i="1" s="1"/>
  <c r="AL103" i="1" s="1"/>
  <c r="AJ81" i="1"/>
  <c r="AK81" i="1" s="1"/>
  <c r="AL81" i="1" s="1"/>
  <c r="AJ77" i="1"/>
  <c r="AK77" i="1" s="1"/>
  <c r="AL77" i="1" s="1"/>
  <c r="AJ220" i="1"/>
  <c r="AK220" i="1" s="1"/>
  <c r="AL220" i="1" s="1"/>
</calcChain>
</file>

<file path=xl/sharedStrings.xml><?xml version="1.0" encoding="utf-8"?>
<sst xmlns="http://schemas.openxmlformats.org/spreadsheetml/2006/main" count="530" uniqueCount="79">
  <si>
    <t>Category &amp; region</t>
  </si>
  <si>
    <t>Category</t>
  </si>
  <si>
    <t>Code &amp; Region</t>
  </si>
  <si>
    <t>MTS Models</t>
  </si>
  <si>
    <t>Model Description</t>
  </si>
  <si>
    <t>CC</t>
  </si>
  <si>
    <t>Region Code</t>
  </si>
  <si>
    <t>State</t>
  </si>
  <si>
    <t>Basis</t>
  </si>
  <si>
    <t>Dealer Margin %</t>
  </si>
  <si>
    <t>MTS NSP</t>
  </si>
  <si>
    <t>Incremental</t>
  </si>
  <si>
    <t>Helmet</t>
  </si>
  <si>
    <t>Transportation</t>
  </si>
  <si>
    <t>Dealer Cost</t>
  </si>
  <si>
    <t>Other Expenses</t>
  </si>
  <si>
    <t>Bike Margin</t>
  </si>
  <si>
    <t>Dealer Margin</t>
  </si>
  <si>
    <t>Helmet Margin</t>
  </si>
  <si>
    <t>Total Dealer Margin</t>
  </si>
  <si>
    <t>NDP</t>
  </si>
  <si>
    <t>BASIC</t>
  </si>
  <si>
    <t>GST</t>
  </si>
  <si>
    <t>Kerala Cess</t>
  </si>
  <si>
    <t>Ex-Showroom</t>
  </si>
  <si>
    <t>Exception Ref</t>
  </si>
  <si>
    <t>RTO %</t>
  </si>
  <si>
    <t>RTO</t>
  </si>
  <si>
    <t>RTO (With Bill)</t>
  </si>
  <si>
    <t>Insurance (&lt;=350)</t>
  </si>
  <si>
    <t>Insurance (&gt;350)</t>
  </si>
  <si>
    <t>Insurance</t>
  </si>
  <si>
    <t>TPA +PA</t>
  </si>
  <si>
    <t>TOTAL INSURANCE</t>
  </si>
  <si>
    <t>On Road</t>
  </si>
  <si>
    <t>Ex-showroom</t>
  </si>
  <si>
    <t>Diff</t>
  </si>
  <si>
    <t>VBFV60RR</t>
  </si>
  <si>
    <t>01</t>
  </si>
  <si>
    <t>VBFV60EB</t>
  </si>
  <si>
    <t>VBFV60HG</t>
  </si>
  <si>
    <t>VBFV60SE</t>
  </si>
  <si>
    <t>VBFV60GM</t>
  </si>
  <si>
    <t>VBFV60SB</t>
  </si>
  <si>
    <t>VBFV60DN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</si>
  <si>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</si>
  <si>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</si>
  <si>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</si>
  <si>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</si>
  <si>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</si>
  <si>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</si>
  <si>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</si>
  <si>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</si>
  <si>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</si>
  <si>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</si>
  <si>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</si>
  <si>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</si>
  <si>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</si>
  <si>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</si>
  <si>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</si>
  <si>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</si>
  <si>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</si>
  <si>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</si>
  <si>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</si>
  <si>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</si>
  <si>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</si>
  <si>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</si>
  <si>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</si>
  <si>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</si>
  <si>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</si>
  <si>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</si>
  <si>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30</t>
  </si>
  <si>
    <t>32</t>
  </si>
  <si>
    <t>33</t>
  </si>
  <si>
    <t>34</t>
  </si>
  <si>
    <t>35</t>
  </si>
  <si>
    <t>36</t>
  </si>
  <si>
    <t>37</t>
  </si>
  <si>
    <t>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</si>
</sst>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_ ;_ * \-#,##0_ ;_ * &quot;-&quot;??_ ;_ @_ "/>
    <numFmt numFmtId="165" formatCode="#,##0.00_ ;\-#,##0.00\ "/>
    <numFmt numFmtId="166" formatCode="_(* #,##0.000000_);_(* \(#,##0.000000\);_(* &quot;-&quot;??_);_(@_)"/>
  </numFmts>
  <fonts count="5" x14ac:knownFonts="1">
    <font>
      <sz val="11"/>
      <color theme="1"/>
      <name val="Aptos Narrow"/>
      <family val="2"/>
      <scheme val="minor"/>
    </font>
    <font>
      <b/>
      <sz val="9"/>
      <color theme="1"/>
      <name val="Calibri"/>
    </font>
    <font>
      <b/>
      <sz val="9"/>
      <color rgb="FF000000"/>
      <name val="Calibri"/>
    </font>
    <font>
      <sz val="9"/>
      <color theme="1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2" borderId="0" xfId="0" applyFont="1" applyFill="1"/>
    <xf numFmtId="4" fontId="1" fillId="0" borderId="0" xfId="0" applyNumberFormat="1" applyFont="1"/>
    <xf numFmtId="164" fontId="1" fillId="0" borderId="0" xfId="0" applyNumberFormat="1" applyFont="1"/>
    <xf numFmtId="164" fontId="1" fillId="2" borderId="0" xfId="0" applyNumberFormat="1" applyFont="1" applyFill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49" fontId="3" fillId="0" borderId="0" xfId="0" applyNumberFormat="1" applyFont="1" applyAlignment="1">
      <alignment horizontal="right"/>
    </xf>
    <xf numFmtId="10" fontId="3" fillId="0" borderId="0" xfId="0" applyNumberFormat="1" applyFont="1"/>
    <xf numFmtId="164" fontId="3" fillId="0" borderId="0" xfId="0" applyNumberFormat="1" applyFont="1" applyAlignment="1">
      <alignment horizontal="right"/>
    </xf>
    <xf numFmtId="4" fontId="3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  <xf numFmtId="9" fontId="3" fillId="0" borderId="0" xfId="0" applyNumberFormat="1" applyFont="1"/>
    <xf numFmtId="166" fontId="3" fillId="0" borderId="0" xfId="0" applyNumberFormat="1" applyFont="1"/>
    <xf numFmtId="0" fontId="4" fillId="0" borderId="0" xfId="0" applyFont="1"/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aderatechnology0-my.sharepoint.com/personal/francisajay_ds_laderatechnology_com/Documents/Desktop/Project/RE-Documents/VechilepricingAutomation/MTS%20&amp;%20MTO%20Price%20working.xlsx" TargetMode="External"/><Relationship Id="rId1" Type="http://schemas.openxmlformats.org/officeDocument/2006/relationships/externalLinkPath" Target="https://laderatechnology0-my.sharepoint.com/personal/francisajay_ds_laderatechnology_com/Documents/Desktop/Project/RE-Documents/VechilepricingAutomation/MTS%20&amp;%20MTO%20Price%20work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TS"/>
      <sheetName val="MTO"/>
      <sheetName val="Price Components"/>
      <sheetName val="Model Code"/>
      <sheetName val="GMA Cost"/>
    </sheetNames>
    <sheetDataSet>
      <sheetData sheetId="0"/>
      <sheetData sheetId="1"/>
      <sheetData sheetId="2">
        <row r="1">
          <cell r="C1">
            <v>1</v>
          </cell>
          <cell r="D1">
            <v>2</v>
          </cell>
          <cell r="E1">
            <v>3</v>
          </cell>
          <cell r="F1">
            <v>4</v>
          </cell>
          <cell r="G1">
            <v>5</v>
          </cell>
          <cell r="H1">
            <v>6</v>
          </cell>
          <cell r="I1">
            <v>7</v>
          </cell>
          <cell r="J1">
            <v>8</v>
          </cell>
          <cell r="K1">
            <v>9</v>
          </cell>
          <cell r="L1">
            <v>10</v>
          </cell>
          <cell r="M1">
            <v>11</v>
          </cell>
          <cell r="N1">
            <v>12</v>
          </cell>
          <cell r="O1">
            <v>13</v>
          </cell>
          <cell r="P1">
            <v>14</v>
          </cell>
          <cell r="Q1">
            <v>15</v>
          </cell>
          <cell r="R1">
            <v>16</v>
          </cell>
          <cell r="T1">
            <v>17</v>
          </cell>
          <cell r="U1">
            <v>18</v>
          </cell>
          <cell r="V1">
            <v>19</v>
          </cell>
          <cell r="W1">
            <v>20</v>
          </cell>
          <cell r="X1">
            <v>21</v>
          </cell>
          <cell r="Y1">
            <v>22</v>
          </cell>
          <cell r="Z1">
            <v>23</v>
          </cell>
          <cell r="AA1">
            <v>24</v>
          </cell>
          <cell r="AB1">
            <v>25</v>
          </cell>
          <cell r="AC1">
            <v>26</v>
          </cell>
        </row>
        <row r="2">
          <cell r="B2" t="str">
            <v>REGION</v>
          </cell>
          <cell r="C2" t="str">
            <v>STATE</v>
          </cell>
          <cell r="D2" t="str">
            <v>BASIC/EX-SHOWROOM</v>
          </cell>
          <cell r="E2" t="str">
            <v>Transportation</v>
          </cell>
          <cell r="F2" t="str">
            <v>Other Expenses &lt;500</v>
          </cell>
          <cell r="G2" t="str">
            <v>Other Expenses= &gt;500</v>
          </cell>
          <cell r="H2" t="str">
            <v>Upto 1.5 Lacs</v>
          </cell>
          <cell r="I2" t="str">
            <v>1.5 L to 2L</v>
          </cell>
          <cell r="J2" t="str">
            <v>2 L to 3 L</v>
          </cell>
          <cell r="K2" t="str">
            <v>Above 3 L</v>
          </cell>
          <cell r="L2" t="str">
            <v>ROAD TAX in VALUE</v>
          </cell>
          <cell r="M2" t="str">
            <v>RTO EXPENSE (WITH RECEIPT)</v>
          </cell>
          <cell r="N2" t="str">
            <v>Exceptions</v>
          </cell>
          <cell r="O2" t="str">
            <v>&lt;=350</v>
          </cell>
          <cell r="P2" t="str">
            <v>&gt;350</v>
          </cell>
          <cell r="Q2" t="str">
            <v>3rd Party Accident &amp; Personal Accident</v>
          </cell>
          <cell r="R2" t="str">
            <v>Cleaning Polishing and Buffing &amp; PDI</v>
          </cell>
          <cell r="S2" t="str">
            <v>HSPR Rate</v>
          </cell>
          <cell r="T2" t="str">
            <v>Number Plate Writing *</v>
          </cell>
          <cell r="U2" t="str">
            <v>Petrol charges 3.5 Litr upto 500 CC</v>
          </cell>
          <cell r="V2" t="str">
            <v>Petrol charges 6 Litr more than 500 CC</v>
          </cell>
          <cell r="W2" t="str">
            <v>RTO Expense (Without receipt)</v>
          </cell>
          <cell r="X2" t="str">
            <v>RTO Tax Rate</v>
          </cell>
          <cell r="Y2" t="str">
            <v>Road Safety Tax/Cess</v>
          </cell>
          <cell r="Z2" t="str">
            <v>Effective Road Tax</v>
          </cell>
          <cell r="AA2" t="str">
            <v>ROAD TAX in VALUE</v>
          </cell>
          <cell r="AB2" t="str">
            <v>RTO EXPENSE (WITH RECEIPT)</v>
          </cell>
          <cell r="AC2" t="str">
            <v>&lt;=350</v>
          </cell>
        </row>
        <row r="3">
          <cell r="B3" t="str">
            <v>01</v>
          </cell>
          <cell r="C3" t="str">
            <v>Andra Pradesh</v>
          </cell>
          <cell r="D3" t="str">
            <v>EX-SHOWROOM</v>
          </cell>
          <cell r="E3">
            <v>1250</v>
          </cell>
          <cell r="F3">
            <v>772</v>
          </cell>
          <cell r="G3">
            <v>1022</v>
          </cell>
          <cell r="H3">
            <v>0.12</v>
          </cell>
          <cell r="I3">
            <v>0.12</v>
          </cell>
          <cell r="J3">
            <v>0.12</v>
          </cell>
          <cell r="K3">
            <v>0.12</v>
          </cell>
          <cell r="L3">
            <v>0</v>
          </cell>
          <cell r="M3">
            <v>940</v>
          </cell>
          <cell r="N3">
            <v>0</v>
          </cell>
          <cell r="O3">
            <v>7.92E-3</v>
          </cell>
          <cell r="P3">
            <v>8.2979999999999998E-3</v>
          </cell>
          <cell r="Q3">
            <v>7740</v>
          </cell>
          <cell r="R3">
            <v>175</v>
          </cell>
          <cell r="S3">
            <v>177</v>
          </cell>
          <cell r="T3">
            <v>247</v>
          </cell>
          <cell r="U3">
            <v>350</v>
          </cell>
          <cell r="V3">
            <v>600</v>
          </cell>
          <cell r="W3">
            <v>0</v>
          </cell>
          <cell r="X3">
            <v>0.09</v>
          </cell>
          <cell r="Y3">
            <v>0</v>
          </cell>
          <cell r="Z3">
            <v>0.09</v>
          </cell>
          <cell r="AA3">
            <v>0</v>
          </cell>
          <cell r="AB3">
            <v>940</v>
          </cell>
          <cell r="AC3">
            <v>7.9000000000000008E-3</v>
          </cell>
        </row>
        <row r="4">
          <cell r="B4" t="str">
            <v>26</v>
          </cell>
          <cell r="C4" t="str">
            <v>Andaman and Nicobar</v>
          </cell>
          <cell r="D4" t="str">
            <v>EX-SHOWROOM</v>
          </cell>
          <cell r="E4">
            <v>800</v>
          </cell>
          <cell r="F4">
            <v>745</v>
          </cell>
          <cell r="G4">
            <v>995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1125</v>
          </cell>
          <cell r="M4">
            <v>0</v>
          </cell>
          <cell r="N4">
            <v>0</v>
          </cell>
          <cell r="O4">
            <v>7.92E-3</v>
          </cell>
          <cell r="P4">
            <v>8.2979999999999998E-3</v>
          </cell>
          <cell r="Q4">
            <v>7740</v>
          </cell>
          <cell r="R4">
            <v>175</v>
          </cell>
          <cell r="S4">
            <v>150</v>
          </cell>
          <cell r="T4">
            <v>220</v>
          </cell>
          <cell r="U4">
            <v>350</v>
          </cell>
          <cell r="V4">
            <v>600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1125</v>
          </cell>
          <cell r="AB4">
            <v>0</v>
          </cell>
          <cell r="AC4">
            <v>7.9000000000000008E-3</v>
          </cell>
        </row>
        <row r="5">
          <cell r="B5" t="str">
            <v>02</v>
          </cell>
          <cell r="C5" t="str">
            <v>Arunachal Pradesh</v>
          </cell>
          <cell r="D5" t="str">
            <v>EX-SHOWROOM</v>
          </cell>
          <cell r="E5">
            <v>1060</v>
          </cell>
          <cell r="F5">
            <v>1442</v>
          </cell>
          <cell r="G5">
            <v>1692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3700</v>
          </cell>
          <cell r="M5">
            <v>1160</v>
          </cell>
          <cell r="N5">
            <v>0</v>
          </cell>
          <cell r="O5">
            <v>7.92E-3</v>
          </cell>
          <cell r="P5">
            <v>8.2979999999999998E-3</v>
          </cell>
          <cell r="Q5">
            <v>7740</v>
          </cell>
          <cell r="R5">
            <v>175</v>
          </cell>
          <cell r="S5">
            <v>177</v>
          </cell>
          <cell r="T5">
            <v>247</v>
          </cell>
          <cell r="U5">
            <v>350</v>
          </cell>
          <cell r="V5">
            <v>600</v>
          </cell>
          <cell r="W5">
            <v>670</v>
          </cell>
          <cell r="X5">
            <v>0</v>
          </cell>
          <cell r="Y5">
            <v>0</v>
          </cell>
          <cell r="Z5">
            <v>0</v>
          </cell>
          <cell r="AA5">
            <v>3700</v>
          </cell>
          <cell r="AB5">
            <v>1160</v>
          </cell>
          <cell r="AC5">
            <v>7.9000000000000008E-3</v>
          </cell>
        </row>
        <row r="6">
          <cell r="B6" t="str">
            <v>03</v>
          </cell>
          <cell r="C6" t="str">
            <v>Assam</v>
          </cell>
          <cell r="D6" t="str">
            <v>EX-SHOWROOM</v>
          </cell>
          <cell r="E6">
            <v>1670</v>
          </cell>
          <cell r="F6">
            <v>1372</v>
          </cell>
          <cell r="G6">
            <v>1622</v>
          </cell>
          <cell r="H6">
            <v>0.08</v>
          </cell>
          <cell r="I6">
            <v>0.08</v>
          </cell>
          <cell r="J6">
            <v>0.08</v>
          </cell>
          <cell r="K6">
            <v>0.09</v>
          </cell>
          <cell r="L6">
            <v>0</v>
          </cell>
          <cell r="M6" t="str">
            <v>750 + 1% on RTO</v>
          </cell>
          <cell r="N6">
            <v>0</v>
          </cell>
          <cell r="O6">
            <v>7.92E-3</v>
          </cell>
          <cell r="P6">
            <v>8.2979999999999998E-3</v>
          </cell>
          <cell r="Q6">
            <v>7740</v>
          </cell>
          <cell r="R6">
            <v>175</v>
          </cell>
          <cell r="S6">
            <v>177</v>
          </cell>
          <cell r="T6">
            <v>247</v>
          </cell>
          <cell r="U6">
            <v>350</v>
          </cell>
          <cell r="V6">
            <v>600</v>
          </cell>
          <cell r="W6">
            <v>600</v>
          </cell>
          <cell r="X6">
            <v>0</v>
          </cell>
          <cell r="Y6">
            <v>0</v>
          </cell>
          <cell r="Z6">
            <v>0</v>
          </cell>
          <cell r="AA6">
            <v>6815</v>
          </cell>
          <cell r="AB6">
            <v>126</v>
          </cell>
          <cell r="AC6">
            <v>7.9000000000000008E-3</v>
          </cell>
        </row>
        <row r="7">
          <cell r="B7" t="str">
            <v>04</v>
          </cell>
          <cell r="C7" t="str">
            <v>Bihar</v>
          </cell>
          <cell r="D7" t="str">
            <v>EX-SHOWROOM</v>
          </cell>
          <cell r="E7">
            <v>780</v>
          </cell>
          <cell r="F7">
            <v>1222</v>
          </cell>
          <cell r="G7">
            <v>1472</v>
          </cell>
          <cell r="H7">
            <v>0.1</v>
          </cell>
          <cell r="I7">
            <v>0.1</v>
          </cell>
          <cell r="J7">
            <v>0.1</v>
          </cell>
          <cell r="K7">
            <v>0.1</v>
          </cell>
          <cell r="L7">
            <v>0</v>
          </cell>
          <cell r="M7">
            <v>1135</v>
          </cell>
          <cell r="N7">
            <v>0</v>
          </cell>
          <cell r="O7">
            <v>7.92E-3</v>
          </cell>
          <cell r="P7">
            <v>8.2979999999999998E-3</v>
          </cell>
          <cell r="Q7">
            <v>7740</v>
          </cell>
          <cell r="R7">
            <v>175</v>
          </cell>
          <cell r="S7">
            <v>177</v>
          </cell>
          <cell r="T7">
            <v>247</v>
          </cell>
          <cell r="U7">
            <v>350</v>
          </cell>
          <cell r="V7">
            <v>600</v>
          </cell>
          <cell r="W7">
            <v>450</v>
          </cell>
          <cell r="X7">
            <v>0.09</v>
          </cell>
          <cell r="Y7">
            <v>0.01</v>
          </cell>
          <cell r="Z7">
            <v>0.1</v>
          </cell>
          <cell r="AA7">
            <v>0</v>
          </cell>
          <cell r="AB7">
            <v>1135</v>
          </cell>
          <cell r="AC7">
            <v>7.9000000000000008E-3</v>
          </cell>
        </row>
        <row r="8">
          <cell r="B8" t="str">
            <v>27</v>
          </cell>
          <cell r="C8" t="str">
            <v>Chandigarh</v>
          </cell>
          <cell r="D8" t="str">
            <v>BASIC</v>
          </cell>
          <cell r="E8">
            <v>168</v>
          </cell>
          <cell r="F8">
            <v>2272</v>
          </cell>
          <cell r="G8">
            <v>2522</v>
          </cell>
          <cell r="H8">
            <v>0.1</v>
          </cell>
          <cell r="I8">
            <v>0.1</v>
          </cell>
          <cell r="J8">
            <v>0.1</v>
          </cell>
          <cell r="K8">
            <v>0.1</v>
          </cell>
          <cell r="L8">
            <v>0</v>
          </cell>
          <cell r="M8">
            <v>200</v>
          </cell>
          <cell r="N8">
            <v>0</v>
          </cell>
          <cell r="O8">
            <v>7.92E-3</v>
          </cell>
          <cell r="P8">
            <v>8.2979999999999998E-3</v>
          </cell>
          <cell r="Q8">
            <v>7740</v>
          </cell>
          <cell r="R8">
            <v>175</v>
          </cell>
          <cell r="S8">
            <v>177</v>
          </cell>
          <cell r="T8">
            <v>247</v>
          </cell>
          <cell r="U8">
            <v>350</v>
          </cell>
          <cell r="V8">
            <v>600</v>
          </cell>
          <cell r="W8">
            <v>1500</v>
          </cell>
          <cell r="X8">
            <v>0.04</v>
          </cell>
          <cell r="Y8">
            <v>0</v>
          </cell>
          <cell r="Z8">
            <v>0.04</v>
          </cell>
          <cell r="AA8">
            <v>0</v>
          </cell>
          <cell r="AB8">
            <v>200</v>
          </cell>
          <cell r="AC8">
            <v>7.9000000000000008E-3</v>
          </cell>
        </row>
        <row r="9">
          <cell r="B9" t="str">
            <v>33</v>
          </cell>
          <cell r="C9" t="str">
            <v>Chhattisgarh</v>
          </cell>
          <cell r="D9" t="str">
            <v>EX-SHOWROOM</v>
          </cell>
          <cell r="E9">
            <v>1290</v>
          </cell>
          <cell r="F9">
            <v>1472</v>
          </cell>
          <cell r="G9">
            <v>1722</v>
          </cell>
          <cell r="H9">
            <v>0.08</v>
          </cell>
          <cell r="I9">
            <v>0.08</v>
          </cell>
          <cell r="J9">
            <v>0.08</v>
          </cell>
          <cell r="K9">
            <v>0.08</v>
          </cell>
          <cell r="L9">
            <v>0</v>
          </cell>
          <cell r="M9">
            <v>1580</v>
          </cell>
          <cell r="N9">
            <v>0</v>
          </cell>
          <cell r="O9">
            <v>7.92E-3</v>
          </cell>
          <cell r="P9">
            <v>8.2979999999999998E-3</v>
          </cell>
          <cell r="Q9">
            <v>7740</v>
          </cell>
          <cell r="R9">
            <v>175</v>
          </cell>
          <cell r="S9">
            <v>177</v>
          </cell>
          <cell r="T9">
            <v>247</v>
          </cell>
          <cell r="U9">
            <v>350</v>
          </cell>
          <cell r="V9">
            <v>600</v>
          </cell>
          <cell r="W9">
            <v>700</v>
          </cell>
          <cell r="X9">
            <v>7.0000000000000007E-2</v>
          </cell>
          <cell r="Y9" t="str">
            <v>-</v>
          </cell>
          <cell r="Z9">
            <v>7.0000000000000007E-2</v>
          </cell>
          <cell r="AA9">
            <v>0</v>
          </cell>
          <cell r="AB9">
            <v>1697</v>
          </cell>
          <cell r="AC9">
            <v>7.9000000000000008E-3</v>
          </cell>
        </row>
        <row r="10">
          <cell r="B10" t="str">
            <v>30</v>
          </cell>
          <cell r="C10" t="str">
            <v>Delhi</v>
          </cell>
          <cell r="D10" t="str">
            <v>EX-SHOWROOM</v>
          </cell>
          <cell r="E10">
            <v>425</v>
          </cell>
          <cell r="F10">
            <v>1222</v>
          </cell>
          <cell r="G10">
            <v>1472</v>
          </cell>
          <cell r="H10">
            <v>0.08</v>
          </cell>
          <cell r="I10">
            <v>0.08</v>
          </cell>
          <cell r="J10">
            <v>0.08</v>
          </cell>
          <cell r="K10">
            <v>0.08</v>
          </cell>
          <cell r="L10">
            <v>0</v>
          </cell>
          <cell r="M10">
            <v>530</v>
          </cell>
          <cell r="N10">
            <v>0</v>
          </cell>
          <cell r="O10">
            <v>8.0599999999999995E-3</v>
          </cell>
          <cell r="P10">
            <v>8.456E-3</v>
          </cell>
          <cell r="Q10">
            <v>7740</v>
          </cell>
          <cell r="R10">
            <v>175</v>
          </cell>
          <cell r="S10">
            <v>177</v>
          </cell>
          <cell r="T10">
            <v>247</v>
          </cell>
          <cell r="U10">
            <v>350</v>
          </cell>
          <cell r="V10">
            <v>600</v>
          </cell>
          <cell r="W10">
            <v>450</v>
          </cell>
          <cell r="X10">
            <v>0.08</v>
          </cell>
          <cell r="Y10">
            <v>0</v>
          </cell>
          <cell r="Z10">
            <v>0.08</v>
          </cell>
          <cell r="AA10">
            <v>0</v>
          </cell>
          <cell r="AB10">
            <v>1135</v>
          </cell>
          <cell r="AC10">
            <v>8.0999999999999996E-3</v>
          </cell>
        </row>
        <row r="11">
          <cell r="B11" t="str">
            <v>05</v>
          </cell>
          <cell r="C11" t="str">
            <v>Goa</v>
          </cell>
          <cell r="D11" t="str">
            <v>EX-SHOWROOM</v>
          </cell>
          <cell r="E11">
            <v>470</v>
          </cell>
          <cell r="F11">
            <v>1045</v>
          </cell>
          <cell r="G11">
            <v>1295</v>
          </cell>
          <cell r="H11">
            <v>0.09</v>
          </cell>
          <cell r="I11">
            <v>0.12</v>
          </cell>
          <cell r="J11">
            <v>0.12</v>
          </cell>
          <cell r="K11">
            <v>0.15</v>
          </cell>
          <cell r="L11">
            <v>0</v>
          </cell>
          <cell r="M11">
            <v>680</v>
          </cell>
          <cell r="N11">
            <v>0.12</v>
          </cell>
          <cell r="O11">
            <v>7.92E-3</v>
          </cell>
          <cell r="P11">
            <v>8.2979999999999998E-3</v>
          </cell>
          <cell r="Q11">
            <v>7740</v>
          </cell>
          <cell r="R11">
            <v>175</v>
          </cell>
          <cell r="S11">
            <v>150</v>
          </cell>
          <cell r="T11">
            <v>220</v>
          </cell>
          <cell r="U11">
            <v>350</v>
          </cell>
          <cell r="V11">
            <v>600</v>
          </cell>
          <cell r="W11">
            <v>300</v>
          </cell>
          <cell r="X11">
            <v>0.09</v>
          </cell>
          <cell r="Y11">
            <v>0</v>
          </cell>
          <cell r="Z11">
            <v>0.09</v>
          </cell>
          <cell r="AA11">
            <v>0</v>
          </cell>
          <cell r="AB11">
            <v>680</v>
          </cell>
          <cell r="AC11">
            <v>7.9000000000000008E-3</v>
          </cell>
        </row>
        <row r="12">
          <cell r="B12" t="str">
            <v>06</v>
          </cell>
          <cell r="C12" t="str">
            <v>Gujarat</v>
          </cell>
          <cell r="D12" t="str">
            <v>BASIC</v>
          </cell>
          <cell r="E12">
            <v>894</v>
          </cell>
          <cell r="F12">
            <v>1345</v>
          </cell>
          <cell r="G12">
            <v>1595</v>
          </cell>
          <cell r="H12">
            <v>0.06</v>
          </cell>
          <cell r="I12">
            <v>0.06</v>
          </cell>
          <cell r="J12">
            <v>0.06</v>
          </cell>
          <cell r="K12">
            <v>0.06</v>
          </cell>
          <cell r="L12">
            <v>0</v>
          </cell>
          <cell r="M12">
            <v>700</v>
          </cell>
          <cell r="N12">
            <v>0</v>
          </cell>
          <cell r="O12">
            <v>7.92E-3</v>
          </cell>
          <cell r="P12">
            <v>8.2979999999999998E-3</v>
          </cell>
          <cell r="Q12">
            <v>7740</v>
          </cell>
          <cell r="R12">
            <v>175</v>
          </cell>
          <cell r="S12">
            <v>150</v>
          </cell>
          <cell r="T12">
            <v>220</v>
          </cell>
          <cell r="U12">
            <v>350</v>
          </cell>
          <cell r="V12">
            <v>600</v>
          </cell>
          <cell r="W12">
            <v>600</v>
          </cell>
          <cell r="X12">
            <v>0.06</v>
          </cell>
          <cell r="Y12">
            <v>0</v>
          </cell>
          <cell r="Z12">
            <v>0.06</v>
          </cell>
          <cell r="AA12">
            <v>0</v>
          </cell>
          <cell r="AB12">
            <v>700</v>
          </cell>
          <cell r="AC12">
            <v>7.9000000000000008E-3</v>
          </cell>
        </row>
        <row r="13">
          <cell r="B13" t="str">
            <v>07</v>
          </cell>
          <cell r="C13" t="str">
            <v>Haryana</v>
          </cell>
          <cell r="D13" t="str">
            <v>EX-SHOWROOM</v>
          </cell>
          <cell r="E13">
            <v>790</v>
          </cell>
          <cell r="F13">
            <v>1102</v>
          </cell>
          <cell r="G13">
            <v>1352</v>
          </cell>
          <cell r="H13">
            <v>0.06</v>
          </cell>
          <cell r="I13">
            <v>0.06</v>
          </cell>
          <cell r="J13">
            <v>0.08</v>
          </cell>
          <cell r="K13">
            <v>0.08</v>
          </cell>
          <cell r="L13">
            <v>0</v>
          </cell>
          <cell r="M13">
            <v>440</v>
          </cell>
          <cell r="N13">
            <v>0.08</v>
          </cell>
          <cell r="O13">
            <v>7.92E-3</v>
          </cell>
          <cell r="P13">
            <v>8.2979999999999998E-3</v>
          </cell>
          <cell r="Q13">
            <v>7740</v>
          </cell>
          <cell r="R13">
            <v>175</v>
          </cell>
          <cell r="S13">
            <v>177</v>
          </cell>
          <cell r="T13">
            <v>247</v>
          </cell>
          <cell r="U13">
            <v>350</v>
          </cell>
          <cell r="V13">
            <v>600</v>
          </cell>
          <cell r="W13">
            <v>330</v>
          </cell>
          <cell r="X13">
            <v>0.06</v>
          </cell>
          <cell r="Y13">
            <v>0</v>
          </cell>
          <cell r="Z13">
            <v>0.06</v>
          </cell>
          <cell r="AA13">
            <v>0</v>
          </cell>
          <cell r="AB13">
            <v>440</v>
          </cell>
          <cell r="AC13">
            <v>7.9000000000000008E-3</v>
          </cell>
        </row>
        <row r="14">
          <cell r="B14" t="str">
            <v>08</v>
          </cell>
          <cell r="C14" t="str">
            <v>Himachal Pradesh</v>
          </cell>
          <cell r="D14" t="str">
            <v>BASIC</v>
          </cell>
          <cell r="E14">
            <v>890</v>
          </cell>
          <cell r="F14">
            <v>772</v>
          </cell>
          <cell r="G14">
            <v>1022</v>
          </cell>
          <cell r="H14">
            <v>7.6999999999999999E-2</v>
          </cell>
          <cell r="I14">
            <v>7.6999999999999999E-2</v>
          </cell>
          <cell r="J14">
            <v>7.6999999999999999E-2</v>
          </cell>
          <cell r="K14">
            <v>7.6999999999999999E-2</v>
          </cell>
          <cell r="L14">
            <v>0</v>
          </cell>
          <cell r="M14">
            <v>1250</v>
          </cell>
          <cell r="N14">
            <v>0</v>
          </cell>
          <cell r="O14">
            <v>7.92E-3</v>
          </cell>
          <cell r="P14">
            <v>8.2979999999999998E-3</v>
          </cell>
          <cell r="Q14">
            <v>7740</v>
          </cell>
          <cell r="R14">
            <v>175</v>
          </cell>
          <cell r="S14">
            <v>177</v>
          </cell>
          <cell r="T14">
            <v>247</v>
          </cell>
          <cell r="U14">
            <v>350</v>
          </cell>
          <cell r="V14">
            <v>600</v>
          </cell>
          <cell r="W14">
            <v>0</v>
          </cell>
          <cell r="X14">
            <v>7.6999999999999999E-2</v>
          </cell>
          <cell r="Y14">
            <v>0</v>
          </cell>
          <cell r="Z14">
            <v>7.6999999999999999E-2</v>
          </cell>
          <cell r="AA14">
            <v>0</v>
          </cell>
          <cell r="AB14">
            <v>1250</v>
          </cell>
          <cell r="AC14">
            <v>7.9000000000000008E-3</v>
          </cell>
        </row>
        <row r="15">
          <cell r="B15" t="str">
            <v>09</v>
          </cell>
          <cell r="C15" t="str">
            <v>Jammu and Kashmir</v>
          </cell>
          <cell r="D15" t="str">
            <v>EX-SHOWROOM</v>
          </cell>
          <cell r="E15">
            <v>1312</v>
          </cell>
          <cell r="F15">
            <v>2272</v>
          </cell>
          <cell r="G15">
            <v>2522</v>
          </cell>
          <cell r="H15">
            <v>0.09</v>
          </cell>
          <cell r="I15">
            <v>0.1</v>
          </cell>
          <cell r="J15">
            <v>0.1</v>
          </cell>
          <cell r="K15">
            <v>0.1</v>
          </cell>
          <cell r="L15">
            <v>0</v>
          </cell>
          <cell r="M15">
            <v>0</v>
          </cell>
          <cell r="N15">
            <v>0.1</v>
          </cell>
          <cell r="O15">
            <v>7.92E-3</v>
          </cell>
          <cell r="P15">
            <v>8.2979999999999998E-3</v>
          </cell>
          <cell r="Q15">
            <v>7740</v>
          </cell>
          <cell r="R15">
            <v>175</v>
          </cell>
          <cell r="S15">
            <v>177</v>
          </cell>
          <cell r="T15">
            <v>247</v>
          </cell>
          <cell r="U15">
            <v>350</v>
          </cell>
          <cell r="V15">
            <v>600</v>
          </cell>
          <cell r="W15">
            <v>1500</v>
          </cell>
          <cell r="X15">
            <v>0.09</v>
          </cell>
          <cell r="Y15">
            <v>0</v>
          </cell>
          <cell r="Z15">
            <v>0.09</v>
          </cell>
          <cell r="AA15">
            <v>0</v>
          </cell>
          <cell r="AB15">
            <v>0</v>
          </cell>
          <cell r="AC15">
            <v>7.9000000000000008E-3</v>
          </cell>
        </row>
        <row r="16">
          <cell r="B16" t="str">
            <v>34</v>
          </cell>
          <cell r="C16" t="str">
            <v>Jharkhand</v>
          </cell>
          <cell r="D16" t="str">
            <v>EX-SHOWROOM</v>
          </cell>
          <cell r="E16">
            <v>665</v>
          </cell>
          <cell r="F16">
            <v>1172</v>
          </cell>
          <cell r="G16">
            <v>1422</v>
          </cell>
          <cell r="H16">
            <v>0.09</v>
          </cell>
          <cell r="I16">
            <v>0.09</v>
          </cell>
          <cell r="J16">
            <v>0.09</v>
          </cell>
          <cell r="K16">
            <v>0.09</v>
          </cell>
          <cell r="L16">
            <v>0</v>
          </cell>
          <cell r="M16">
            <v>1085</v>
          </cell>
          <cell r="N16">
            <v>0</v>
          </cell>
          <cell r="O16">
            <v>7.92E-3</v>
          </cell>
          <cell r="P16">
            <v>8.2979999999999998E-3</v>
          </cell>
          <cell r="Q16">
            <v>7740</v>
          </cell>
          <cell r="R16">
            <v>175</v>
          </cell>
          <cell r="S16">
            <v>177</v>
          </cell>
          <cell r="T16">
            <v>247</v>
          </cell>
          <cell r="U16">
            <v>350</v>
          </cell>
          <cell r="V16">
            <v>600</v>
          </cell>
          <cell r="W16">
            <v>400</v>
          </cell>
          <cell r="X16">
            <v>0.06</v>
          </cell>
          <cell r="Y16">
            <v>0</v>
          </cell>
          <cell r="Z16">
            <v>0.06</v>
          </cell>
          <cell r="AA16">
            <v>0</v>
          </cell>
          <cell r="AB16">
            <v>1085</v>
          </cell>
          <cell r="AC16">
            <v>7.9000000000000008E-3</v>
          </cell>
        </row>
        <row r="17">
          <cell r="B17" t="str">
            <v>12</v>
          </cell>
          <cell r="C17" t="str">
            <v>Madhya Pradesh</v>
          </cell>
          <cell r="D17" t="str">
            <v>EX-SHOWROOM</v>
          </cell>
          <cell r="E17">
            <v>1035</v>
          </cell>
          <cell r="F17">
            <v>1622</v>
          </cell>
          <cell r="G17">
            <v>1872</v>
          </cell>
          <cell r="H17">
            <v>0.08</v>
          </cell>
          <cell r="I17">
            <v>0.08</v>
          </cell>
          <cell r="J17">
            <v>0.08</v>
          </cell>
          <cell r="K17">
            <v>0.08</v>
          </cell>
          <cell r="L17">
            <v>0</v>
          </cell>
          <cell r="M17">
            <v>1075</v>
          </cell>
          <cell r="N17">
            <v>0</v>
          </cell>
          <cell r="O17">
            <v>7.92E-3</v>
          </cell>
          <cell r="P17">
            <v>8.2979999999999998E-3</v>
          </cell>
          <cell r="Q17">
            <v>7740</v>
          </cell>
          <cell r="R17">
            <v>175</v>
          </cell>
          <cell r="S17">
            <v>177</v>
          </cell>
          <cell r="T17">
            <v>247</v>
          </cell>
          <cell r="U17">
            <v>350</v>
          </cell>
          <cell r="V17">
            <v>600</v>
          </cell>
          <cell r="W17">
            <v>850</v>
          </cell>
          <cell r="X17">
            <v>0.08</v>
          </cell>
          <cell r="Y17" t="str">
            <v>-</v>
          </cell>
          <cell r="Z17">
            <v>0.08</v>
          </cell>
          <cell r="AA17">
            <v>0</v>
          </cell>
          <cell r="AB17">
            <v>1072</v>
          </cell>
          <cell r="AC17">
            <v>7.9000000000000008E-3</v>
          </cell>
        </row>
        <row r="18">
          <cell r="B18" t="str">
            <v>13</v>
          </cell>
          <cell r="C18" t="str">
            <v>Maharashtra</v>
          </cell>
          <cell r="D18" t="str">
            <v>EX-SHOWROOM</v>
          </cell>
          <cell r="E18">
            <v>710</v>
          </cell>
          <cell r="F18">
            <v>1445</v>
          </cell>
          <cell r="G18">
            <v>1695</v>
          </cell>
          <cell r="H18">
            <v>0.12239999999999999</v>
          </cell>
          <cell r="I18">
            <v>0.12239999999999999</v>
          </cell>
          <cell r="J18">
            <v>0.12239999999999999</v>
          </cell>
          <cell r="K18">
            <v>0.12239999999999999</v>
          </cell>
          <cell r="L18">
            <v>0</v>
          </cell>
          <cell r="M18">
            <v>600</v>
          </cell>
          <cell r="N18">
            <v>0</v>
          </cell>
          <cell r="O18">
            <v>7.92E-3</v>
          </cell>
          <cell r="P18">
            <v>8.2979999999999998E-3</v>
          </cell>
          <cell r="Q18">
            <v>7740</v>
          </cell>
          <cell r="R18">
            <v>175</v>
          </cell>
          <cell r="S18">
            <v>150</v>
          </cell>
          <cell r="T18">
            <v>220</v>
          </cell>
          <cell r="U18">
            <v>350</v>
          </cell>
          <cell r="V18">
            <v>600</v>
          </cell>
          <cell r="W18">
            <v>700</v>
          </cell>
          <cell r="X18">
            <v>0.12</v>
          </cell>
          <cell r="Y18">
            <v>0.02</v>
          </cell>
          <cell r="Z18">
            <v>0.12239999999999999</v>
          </cell>
          <cell r="AA18">
            <v>0</v>
          </cell>
          <cell r="AB18">
            <v>600</v>
          </cell>
          <cell r="AC18">
            <v>7.9000000000000008E-3</v>
          </cell>
        </row>
        <row r="19">
          <cell r="B19" t="str">
            <v>14</v>
          </cell>
          <cell r="C19" t="str">
            <v>Manipur</v>
          </cell>
          <cell r="D19" t="str">
            <v>BASIC</v>
          </cell>
          <cell r="E19">
            <v>1060</v>
          </cell>
          <cell r="F19">
            <v>3584</v>
          </cell>
          <cell r="G19">
            <v>3834</v>
          </cell>
          <cell r="H19">
            <v>0.04</v>
          </cell>
          <cell r="I19">
            <v>0.04</v>
          </cell>
          <cell r="J19">
            <v>0.04</v>
          </cell>
          <cell r="K19">
            <v>0.04</v>
          </cell>
          <cell r="L19">
            <v>0</v>
          </cell>
          <cell r="M19">
            <v>580</v>
          </cell>
          <cell r="N19">
            <v>0</v>
          </cell>
          <cell r="O19">
            <v>7.92E-3</v>
          </cell>
          <cell r="P19">
            <v>8.2979999999999998E-3</v>
          </cell>
          <cell r="Q19">
            <v>7740</v>
          </cell>
          <cell r="R19">
            <v>175</v>
          </cell>
          <cell r="S19">
            <v>177</v>
          </cell>
          <cell r="T19">
            <v>247</v>
          </cell>
          <cell r="U19">
            <v>350</v>
          </cell>
          <cell r="V19">
            <v>600</v>
          </cell>
          <cell r="W19">
            <v>2812</v>
          </cell>
          <cell r="X19">
            <v>0.04</v>
          </cell>
          <cell r="Y19">
            <v>0</v>
          </cell>
          <cell r="Z19">
            <v>0.04</v>
          </cell>
          <cell r="AA19">
            <v>0</v>
          </cell>
          <cell r="AB19">
            <v>580</v>
          </cell>
          <cell r="AC19">
            <v>7.9000000000000008E-3</v>
          </cell>
        </row>
        <row r="20">
          <cell r="B20" t="str">
            <v>15</v>
          </cell>
          <cell r="C20" t="str">
            <v>Meghalaya</v>
          </cell>
          <cell r="D20" t="str">
            <v>EX-SHOWROOM</v>
          </cell>
          <cell r="E20">
            <v>1060</v>
          </cell>
          <cell r="F20">
            <v>1442</v>
          </cell>
          <cell r="G20">
            <v>1692</v>
          </cell>
          <cell r="H20">
            <v>0</v>
          </cell>
          <cell r="I20">
            <v>0</v>
          </cell>
          <cell r="J20">
            <v>3.3000000000000002E-2</v>
          </cell>
          <cell r="K20">
            <v>3.3000000000000002E-2</v>
          </cell>
          <cell r="L20">
            <v>6050</v>
          </cell>
          <cell r="M20">
            <v>300</v>
          </cell>
          <cell r="N20">
            <v>0.03</v>
          </cell>
          <cell r="O20">
            <v>7.92E-3</v>
          </cell>
          <cell r="P20">
            <v>8.2979999999999998E-3</v>
          </cell>
          <cell r="Q20">
            <v>7740</v>
          </cell>
          <cell r="R20">
            <v>175</v>
          </cell>
          <cell r="S20">
            <v>177</v>
          </cell>
          <cell r="T20">
            <v>247</v>
          </cell>
          <cell r="U20">
            <v>350</v>
          </cell>
          <cell r="V20">
            <v>600</v>
          </cell>
          <cell r="W20">
            <v>670</v>
          </cell>
          <cell r="X20">
            <v>0</v>
          </cell>
          <cell r="Y20">
            <v>0</v>
          </cell>
          <cell r="Z20">
            <v>0</v>
          </cell>
          <cell r="AA20">
            <v>3195</v>
          </cell>
          <cell r="AB20">
            <v>182</v>
          </cell>
          <cell r="AC20">
            <v>7.9000000000000008E-3</v>
          </cell>
        </row>
        <row r="21">
          <cell r="B21" t="str">
            <v>16</v>
          </cell>
          <cell r="C21" t="str">
            <v>Mizoram</v>
          </cell>
          <cell r="D21" t="str">
            <v>BASIC</v>
          </cell>
          <cell r="E21">
            <v>1060</v>
          </cell>
          <cell r="F21">
            <v>1372</v>
          </cell>
          <cell r="G21">
            <v>1622</v>
          </cell>
          <cell r="H21">
            <v>0.06</v>
          </cell>
          <cell r="I21">
            <v>0.06</v>
          </cell>
          <cell r="J21">
            <v>0.06</v>
          </cell>
          <cell r="K21">
            <v>0.06</v>
          </cell>
          <cell r="L21">
            <v>0</v>
          </cell>
          <cell r="M21">
            <v>260</v>
          </cell>
          <cell r="N21">
            <v>0</v>
          </cell>
          <cell r="O21">
            <v>7.92E-3</v>
          </cell>
          <cell r="P21">
            <v>8.2979999999999998E-3</v>
          </cell>
          <cell r="Q21">
            <v>7740</v>
          </cell>
          <cell r="R21">
            <v>175</v>
          </cell>
          <cell r="S21">
            <v>177</v>
          </cell>
          <cell r="T21">
            <v>247</v>
          </cell>
          <cell r="U21">
            <v>350</v>
          </cell>
          <cell r="V21">
            <v>600</v>
          </cell>
          <cell r="W21">
            <v>600</v>
          </cell>
          <cell r="X21">
            <v>0.06</v>
          </cell>
          <cell r="Y21">
            <v>0</v>
          </cell>
          <cell r="Z21">
            <v>0.06</v>
          </cell>
          <cell r="AA21">
            <v>0</v>
          </cell>
          <cell r="AB21">
            <v>260</v>
          </cell>
          <cell r="AC21">
            <v>7.9000000000000008E-3</v>
          </cell>
        </row>
        <row r="22">
          <cell r="B22" t="str">
            <v>17</v>
          </cell>
          <cell r="C22" t="str">
            <v>Nagaland</v>
          </cell>
          <cell r="D22" t="str">
            <v>BASIC</v>
          </cell>
          <cell r="E22">
            <v>1060</v>
          </cell>
          <cell r="F22">
            <v>1442</v>
          </cell>
          <cell r="G22">
            <v>1692</v>
          </cell>
          <cell r="H22">
            <v>0.05</v>
          </cell>
          <cell r="I22">
            <v>0.05</v>
          </cell>
          <cell r="J22">
            <v>0.05</v>
          </cell>
          <cell r="K22">
            <v>0.05</v>
          </cell>
          <cell r="L22">
            <v>0</v>
          </cell>
          <cell r="M22">
            <v>300</v>
          </cell>
          <cell r="N22">
            <v>0</v>
          </cell>
          <cell r="O22">
            <v>7.92E-3</v>
          </cell>
          <cell r="P22">
            <v>8.2979999999999998E-3</v>
          </cell>
          <cell r="Q22">
            <v>7740</v>
          </cell>
          <cell r="R22">
            <v>175</v>
          </cell>
          <cell r="S22">
            <v>177</v>
          </cell>
          <cell r="T22">
            <v>247</v>
          </cell>
          <cell r="U22">
            <v>350</v>
          </cell>
          <cell r="V22">
            <v>600</v>
          </cell>
          <cell r="W22">
            <v>670</v>
          </cell>
          <cell r="X22">
            <v>0.05</v>
          </cell>
          <cell r="Y22">
            <v>0</v>
          </cell>
          <cell r="Z22">
            <v>0.05</v>
          </cell>
          <cell r="AA22">
            <v>0</v>
          </cell>
          <cell r="AB22">
            <v>300</v>
          </cell>
          <cell r="AC22">
            <v>7.9000000000000008E-3</v>
          </cell>
        </row>
        <row r="23">
          <cell r="B23" t="str">
            <v>18</v>
          </cell>
          <cell r="C23" t="str">
            <v>Orissa</v>
          </cell>
          <cell r="D23" t="str">
            <v>EX-SHOWROOM</v>
          </cell>
          <cell r="E23">
            <v>1050</v>
          </cell>
          <cell r="F23">
            <v>1674.5</v>
          </cell>
          <cell r="G23">
            <v>1924.5</v>
          </cell>
          <cell r="H23">
            <v>0.06</v>
          </cell>
          <cell r="I23">
            <v>0.06</v>
          </cell>
          <cell r="J23">
            <v>0.06</v>
          </cell>
          <cell r="K23">
            <v>0.06</v>
          </cell>
          <cell r="L23">
            <v>0</v>
          </cell>
          <cell r="M23">
            <v>708</v>
          </cell>
          <cell r="N23">
            <v>0</v>
          </cell>
          <cell r="O23">
            <v>7.92E-3</v>
          </cell>
          <cell r="P23">
            <v>8.2979999999999998E-3</v>
          </cell>
          <cell r="Q23">
            <v>7740</v>
          </cell>
          <cell r="R23">
            <v>175</v>
          </cell>
          <cell r="S23">
            <v>179.5</v>
          </cell>
          <cell r="T23">
            <v>249.5</v>
          </cell>
          <cell r="U23">
            <v>350</v>
          </cell>
          <cell r="V23">
            <v>600</v>
          </cell>
          <cell r="W23">
            <v>900</v>
          </cell>
          <cell r="X23">
            <v>0.06</v>
          </cell>
          <cell r="Y23">
            <v>0</v>
          </cell>
          <cell r="Z23">
            <v>0.06</v>
          </cell>
          <cell r="AA23">
            <v>0</v>
          </cell>
          <cell r="AB23">
            <v>708</v>
          </cell>
          <cell r="AC23">
            <v>7.9000000000000008E-3</v>
          </cell>
        </row>
        <row r="24">
          <cell r="B24" t="str">
            <v>32</v>
          </cell>
          <cell r="C24" t="str">
            <v>Pondicherry</v>
          </cell>
          <cell r="D24" t="str">
            <v>EX-SHOWROOM</v>
          </cell>
          <cell r="E24">
            <v>800</v>
          </cell>
          <cell r="F24">
            <v>1535</v>
          </cell>
          <cell r="G24">
            <v>1785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2400</v>
          </cell>
          <cell r="M24">
            <v>650</v>
          </cell>
          <cell r="N24">
            <v>0</v>
          </cell>
          <cell r="O24">
            <v>7.92E-3</v>
          </cell>
          <cell r="P24">
            <v>8.2979999999999998E-3</v>
          </cell>
          <cell r="Q24">
            <v>7740</v>
          </cell>
          <cell r="R24">
            <v>175</v>
          </cell>
          <cell r="S24">
            <v>150</v>
          </cell>
          <cell r="T24">
            <v>220</v>
          </cell>
          <cell r="U24">
            <v>350</v>
          </cell>
          <cell r="V24">
            <v>600</v>
          </cell>
          <cell r="W24">
            <v>790</v>
          </cell>
          <cell r="X24">
            <v>0</v>
          </cell>
          <cell r="Y24">
            <v>0</v>
          </cell>
          <cell r="Z24">
            <v>0</v>
          </cell>
          <cell r="AA24">
            <v>2400</v>
          </cell>
          <cell r="AB24">
            <v>650</v>
          </cell>
          <cell r="AC24">
            <v>7.9000000000000008E-3</v>
          </cell>
        </row>
        <row r="25">
          <cell r="B25" t="str">
            <v>19</v>
          </cell>
          <cell r="C25" t="str">
            <v>Punjab</v>
          </cell>
          <cell r="D25" t="str">
            <v>Basic</v>
          </cell>
          <cell r="E25">
            <v>1210</v>
          </cell>
          <cell r="F25">
            <v>2272</v>
          </cell>
          <cell r="G25">
            <v>2522</v>
          </cell>
          <cell r="H25">
            <v>0.11</v>
          </cell>
          <cell r="I25">
            <v>0.11</v>
          </cell>
          <cell r="J25">
            <v>0.12</v>
          </cell>
          <cell r="K25">
            <v>0.12</v>
          </cell>
          <cell r="L25">
            <v>0</v>
          </cell>
          <cell r="M25">
            <v>755</v>
          </cell>
          <cell r="N25">
            <v>0</v>
          </cell>
          <cell r="O25">
            <v>7.92E-3</v>
          </cell>
          <cell r="P25">
            <v>8.2979999999999998E-3</v>
          </cell>
          <cell r="Q25">
            <v>7740</v>
          </cell>
          <cell r="R25">
            <v>175</v>
          </cell>
          <cell r="S25">
            <v>177</v>
          </cell>
          <cell r="T25">
            <v>247</v>
          </cell>
          <cell r="U25">
            <v>350</v>
          </cell>
          <cell r="V25">
            <v>600</v>
          </cell>
          <cell r="W25">
            <v>1500</v>
          </cell>
          <cell r="X25">
            <v>0.1</v>
          </cell>
          <cell r="Y25">
            <v>0.01</v>
          </cell>
          <cell r="Z25">
            <v>0.1</v>
          </cell>
          <cell r="AA25">
            <v>0</v>
          </cell>
          <cell r="AB25">
            <v>755</v>
          </cell>
          <cell r="AC25">
            <v>7.9000000000000008E-3</v>
          </cell>
        </row>
        <row r="26">
          <cell r="B26" t="str">
            <v>20</v>
          </cell>
          <cell r="C26" t="str">
            <v>Rajasthan</v>
          </cell>
          <cell r="D26" t="str">
            <v>EX-SHOWROOM</v>
          </cell>
          <cell r="E26">
            <v>1495</v>
          </cell>
          <cell r="F26">
            <v>1472</v>
          </cell>
          <cell r="G26">
            <v>1722</v>
          </cell>
          <cell r="H26">
            <v>0.13</v>
          </cell>
          <cell r="I26">
            <v>0.13</v>
          </cell>
          <cell r="J26">
            <v>0.13</v>
          </cell>
          <cell r="K26">
            <v>0.16880000000000001</v>
          </cell>
          <cell r="L26">
            <v>0</v>
          </cell>
          <cell r="M26">
            <v>1350</v>
          </cell>
          <cell r="N26">
            <v>0.15</v>
          </cell>
          <cell r="O26">
            <v>7.92E-3</v>
          </cell>
          <cell r="P26">
            <v>8.2979999999999998E-3</v>
          </cell>
          <cell r="Q26">
            <v>7740</v>
          </cell>
          <cell r="R26">
            <v>175</v>
          </cell>
          <cell r="S26">
            <v>177</v>
          </cell>
          <cell r="T26">
            <v>247</v>
          </cell>
          <cell r="U26">
            <v>350</v>
          </cell>
          <cell r="V26">
            <v>600</v>
          </cell>
          <cell r="W26">
            <v>700</v>
          </cell>
          <cell r="X26">
            <v>0.13</v>
          </cell>
          <cell r="Y26">
            <v>0</v>
          </cell>
          <cell r="Z26">
            <v>0.13</v>
          </cell>
          <cell r="AA26">
            <v>0</v>
          </cell>
          <cell r="AB26">
            <v>1350</v>
          </cell>
          <cell r="AC26">
            <v>7.9000000000000008E-3</v>
          </cell>
        </row>
        <row r="27">
          <cell r="B27" t="str">
            <v>21</v>
          </cell>
          <cell r="C27" t="str">
            <v>Sikkim</v>
          </cell>
          <cell r="D27" t="str">
            <v>EX-SHOWROOM</v>
          </cell>
          <cell r="E27">
            <v>714</v>
          </cell>
          <cell r="F27">
            <v>3272</v>
          </cell>
          <cell r="G27">
            <v>3522</v>
          </cell>
          <cell r="H27">
            <v>0.01</v>
          </cell>
          <cell r="I27">
            <v>0.01</v>
          </cell>
          <cell r="J27">
            <v>0.01</v>
          </cell>
          <cell r="K27">
            <v>0.01</v>
          </cell>
          <cell r="L27">
            <v>0</v>
          </cell>
          <cell r="M27">
            <v>1100</v>
          </cell>
          <cell r="N27">
            <v>0</v>
          </cell>
          <cell r="O27">
            <v>7.92E-3</v>
          </cell>
          <cell r="P27">
            <v>8.2979999999999998E-3</v>
          </cell>
          <cell r="Q27">
            <v>7740</v>
          </cell>
          <cell r="R27">
            <v>175</v>
          </cell>
          <cell r="S27">
            <v>177</v>
          </cell>
          <cell r="T27">
            <v>247</v>
          </cell>
          <cell r="U27">
            <v>350</v>
          </cell>
          <cell r="V27">
            <v>600</v>
          </cell>
          <cell r="W27">
            <v>2500</v>
          </cell>
          <cell r="X27">
            <v>0.01</v>
          </cell>
          <cell r="Y27">
            <v>0</v>
          </cell>
          <cell r="Z27">
            <v>0.01</v>
          </cell>
          <cell r="AA27">
            <v>0</v>
          </cell>
          <cell r="AB27">
            <v>1100</v>
          </cell>
          <cell r="AC27">
            <v>7.9000000000000008E-3</v>
          </cell>
        </row>
        <row r="28">
          <cell r="B28" t="str">
            <v>36</v>
          </cell>
          <cell r="C28" t="str">
            <v>Telangana</v>
          </cell>
          <cell r="D28" t="str">
            <v>EX-SHOWROOM</v>
          </cell>
          <cell r="E28">
            <v>400</v>
          </cell>
          <cell r="F28">
            <v>772</v>
          </cell>
          <cell r="G28">
            <v>1022</v>
          </cell>
          <cell r="H28">
            <v>0.12</v>
          </cell>
          <cell r="I28">
            <v>0.12</v>
          </cell>
          <cell r="J28">
            <v>0.12</v>
          </cell>
          <cell r="K28">
            <v>0.12</v>
          </cell>
          <cell r="L28">
            <v>0</v>
          </cell>
          <cell r="M28">
            <v>990</v>
          </cell>
          <cell r="N28">
            <v>0</v>
          </cell>
          <cell r="O28">
            <v>7.92E-3</v>
          </cell>
          <cell r="P28">
            <v>8.2979999999999998E-3</v>
          </cell>
          <cell r="Q28">
            <v>7740</v>
          </cell>
          <cell r="R28">
            <v>175</v>
          </cell>
          <cell r="S28">
            <v>177</v>
          </cell>
          <cell r="T28">
            <v>247</v>
          </cell>
          <cell r="U28">
            <v>350</v>
          </cell>
          <cell r="V28">
            <v>600</v>
          </cell>
          <cell r="W28">
            <v>0</v>
          </cell>
          <cell r="X28">
            <v>0.12</v>
          </cell>
          <cell r="Y28">
            <v>0</v>
          </cell>
          <cell r="Z28">
            <v>0.12</v>
          </cell>
          <cell r="AA28">
            <v>0</v>
          </cell>
          <cell r="AB28">
            <v>990</v>
          </cell>
          <cell r="AC28">
            <v>7.9000000000000008E-3</v>
          </cell>
        </row>
        <row r="29">
          <cell r="B29" t="str">
            <v>23</v>
          </cell>
          <cell r="C29" t="str">
            <v>Tripura</v>
          </cell>
          <cell r="D29" t="str">
            <v>EX-SHOWROOM</v>
          </cell>
          <cell r="E29">
            <v>1060</v>
          </cell>
          <cell r="F29">
            <v>1022</v>
          </cell>
          <cell r="G29">
            <v>1272</v>
          </cell>
          <cell r="H29">
            <v>0.08</v>
          </cell>
          <cell r="I29">
            <v>0.08</v>
          </cell>
          <cell r="J29">
            <v>0.08</v>
          </cell>
          <cell r="K29">
            <v>0.08</v>
          </cell>
          <cell r="L29">
            <v>0</v>
          </cell>
          <cell r="M29">
            <v>445</v>
          </cell>
          <cell r="N29">
            <v>0</v>
          </cell>
          <cell r="O29">
            <v>7.92E-3</v>
          </cell>
          <cell r="P29">
            <v>8.2979999999999998E-3</v>
          </cell>
          <cell r="Q29">
            <v>7740</v>
          </cell>
          <cell r="R29">
            <v>175</v>
          </cell>
          <cell r="S29">
            <v>177</v>
          </cell>
          <cell r="T29">
            <v>247</v>
          </cell>
          <cell r="U29">
            <v>350</v>
          </cell>
          <cell r="V29">
            <v>600</v>
          </cell>
          <cell r="W29">
            <v>250</v>
          </cell>
          <cell r="X29">
            <v>0.08</v>
          </cell>
          <cell r="Y29">
            <v>0</v>
          </cell>
          <cell r="Z29">
            <v>0.08</v>
          </cell>
          <cell r="AA29">
            <v>0</v>
          </cell>
          <cell r="AB29">
            <v>445</v>
          </cell>
          <cell r="AC29">
            <v>7.9000000000000008E-3</v>
          </cell>
        </row>
        <row r="30">
          <cell r="B30" t="str">
            <v>35</v>
          </cell>
          <cell r="C30" t="str">
            <v>Uttaranchal</v>
          </cell>
          <cell r="D30" t="str">
            <v>EX-SHOWROOM</v>
          </cell>
          <cell r="E30">
            <v>764</v>
          </cell>
          <cell r="F30">
            <v>1772</v>
          </cell>
          <cell r="G30">
            <v>2022</v>
          </cell>
          <cell r="H30">
            <v>0.09</v>
          </cell>
          <cell r="I30">
            <v>0.09</v>
          </cell>
          <cell r="J30">
            <v>0.09</v>
          </cell>
          <cell r="K30">
            <v>0.09</v>
          </cell>
          <cell r="L30">
            <v>0</v>
          </cell>
          <cell r="M30">
            <v>1080</v>
          </cell>
          <cell r="N30">
            <v>0</v>
          </cell>
          <cell r="O30">
            <v>7.92E-3</v>
          </cell>
          <cell r="P30">
            <v>8.2979999999999998E-3</v>
          </cell>
          <cell r="Q30">
            <v>7740</v>
          </cell>
          <cell r="R30">
            <v>175</v>
          </cell>
          <cell r="S30">
            <v>177</v>
          </cell>
          <cell r="T30">
            <v>247</v>
          </cell>
          <cell r="U30">
            <v>350</v>
          </cell>
          <cell r="V30">
            <v>600</v>
          </cell>
          <cell r="W30">
            <v>1000</v>
          </cell>
          <cell r="X30">
            <v>0.09</v>
          </cell>
          <cell r="Y30">
            <v>0</v>
          </cell>
          <cell r="Z30">
            <v>0.09</v>
          </cell>
          <cell r="AA30">
            <v>0</v>
          </cell>
          <cell r="AB30">
            <v>1080</v>
          </cell>
          <cell r="AC30">
            <v>7.9000000000000008E-3</v>
          </cell>
        </row>
        <row r="31">
          <cell r="B31" t="str">
            <v>24</v>
          </cell>
          <cell r="C31" t="str">
            <v>Uttar Pradesh</v>
          </cell>
          <cell r="D31" t="str">
            <v>EX-SHOWROOM</v>
          </cell>
          <cell r="E31">
            <v>945</v>
          </cell>
          <cell r="F31">
            <v>1272</v>
          </cell>
          <cell r="G31">
            <v>1522</v>
          </cell>
          <cell r="H31">
            <v>0.1</v>
          </cell>
          <cell r="I31">
            <v>0.1</v>
          </cell>
          <cell r="J31">
            <v>0.1</v>
          </cell>
          <cell r="K31">
            <v>0.1</v>
          </cell>
          <cell r="L31">
            <v>0</v>
          </cell>
          <cell r="M31">
            <v>300</v>
          </cell>
          <cell r="N31">
            <v>0</v>
          </cell>
          <cell r="O31">
            <v>7.92E-3</v>
          </cell>
          <cell r="P31">
            <v>8.2979999999999998E-3</v>
          </cell>
          <cell r="Q31">
            <v>7740</v>
          </cell>
          <cell r="R31">
            <v>175</v>
          </cell>
          <cell r="S31">
            <v>177</v>
          </cell>
          <cell r="T31">
            <v>247</v>
          </cell>
          <cell r="U31">
            <v>350</v>
          </cell>
          <cell r="V31">
            <v>600</v>
          </cell>
          <cell r="W31">
            <v>500</v>
          </cell>
          <cell r="X31">
            <v>0.1</v>
          </cell>
          <cell r="Y31">
            <v>0</v>
          </cell>
          <cell r="Z31">
            <v>0.1</v>
          </cell>
          <cell r="AA31">
            <v>0</v>
          </cell>
          <cell r="AB31">
            <v>300</v>
          </cell>
          <cell r="AC31">
            <v>7.9000000000000008E-3</v>
          </cell>
        </row>
        <row r="32">
          <cell r="B32" t="str">
            <v>25</v>
          </cell>
          <cell r="C32" t="str">
            <v>West Bengal</v>
          </cell>
          <cell r="D32" t="str">
            <v>EX-SHOWROOM</v>
          </cell>
          <cell r="E32">
            <v>714</v>
          </cell>
          <cell r="F32">
            <v>2164.5</v>
          </cell>
          <cell r="G32">
            <v>2414.5</v>
          </cell>
          <cell r="H32">
            <v>0.1</v>
          </cell>
          <cell r="I32">
            <v>0.1</v>
          </cell>
          <cell r="J32">
            <v>0.1</v>
          </cell>
          <cell r="K32">
            <v>0.1</v>
          </cell>
          <cell r="L32">
            <v>0</v>
          </cell>
          <cell r="M32">
            <v>1290</v>
          </cell>
          <cell r="N32">
            <v>0</v>
          </cell>
          <cell r="O32">
            <v>7.92E-3</v>
          </cell>
          <cell r="P32">
            <v>8.2979999999999998E-3</v>
          </cell>
          <cell r="Q32">
            <v>7740</v>
          </cell>
          <cell r="R32">
            <v>175</v>
          </cell>
          <cell r="S32">
            <v>179.5</v>
          </cell>
          <cell r="T32">
            <v>249.5</v>
          </cell>
          <cell r="U32">
            <v>350</v>
          </cell>
          <cell r="V32">
            <v>600</v>
          </cell>
          <cell r="W32">
            <v>1390</v>
          </cell>
          <cell r="X32">
            <v>0.1</v>
          </cell>
          <cell r="Y32">
            <v>0</v>
          </cell>
          <cell r="Z32">
            <v>0.1</v>
          </cell>
          <cell r="AA32">
            <v>0</v>
          </cell>
          <cell r="AB32">
            <v>922</v>
          </cell>
          <cell r="AC32">
            <v>7.9000000000000008E-3</v>
          </cell>
        </row>
        <row r="33">
          <cell r="B33" t="str">
            <v>22</v>
          </cell>
          <cell r="C33" t="str">
            <v>Tamil Nadu</v>
          </cell>
          <cell r="D33" t="str">
            <v>EX-SHOWROOM</v>
          </cell>
          <cell r="E33">
            <v>800</v>
          </cell>
          <cell r="F33">
            <v>1374.5</v>
          </cell>
          <cell r="G33">
            <v>1624.5</v>
          </cell>
          <cell r="H33">
            <v>0.12</v>
          </cell>
          <cell r="I33">
            <v>0.12</v>
          </cell>
          <cell r="J33">
            <v>0.12</v>
          </cell>
          <cell r="K33">
            <v>0.12</v>
          </cell>
          <cell r="L33">
            <v>0</v>
          </cell>
          <cell r="M33">
            <v>1025</v>
          </cell>
          <cell r="N33">
            <v>0</v>
          </cell>
          <cell r="O33">
            <v>8.0599999999999995E-3</v>
          </cell>
          <cell r="P33">
            <v>8.456E-3</v>
          </cell>
          <cell r="Q33">
            <v>7740</v>
          </cell>
          <cell r="R33">
            <v>175</v>
          </cell>
          <cell r="S33">
            <v>179.5</v>
          </cell>
          <cell r="T33">
            <v>249.5</v>
          </cell>
          <cell r="U33">
            <v>350</v>
          </cell>
          <cell r="V33">
            <v>600</v>
          </cell>
          <cell r="W33">
            <v>600</v>
          </cell>
          <cell r="X33">
            <v>0.08</v>
          </cell>
          <cell r="Y33">
            <v>0</v>
          </cell>
          <cell r="Z33">
            <v>0.08</v>
          </cell>
          <cell r="AA33">
            <v>0</v>
          </cell>
          <cell r="AB33">
            <v>850</v>
          </cell>
          <cell r="AC33">
            <v>8.0999999999999996E-3</v>
          </cell>
        </row>
        <row r="34">
          <cell r="B34" t="str">
            <v>10</v>
          </cell>
          <cell r="C34" t="str">
            <v>Karnataka</v>
          </cell>
          <cell r="D34" t="str">
            <v>EX-SHOWROOM</v>
          </cell>
          <cell r="E34">
            <v>920</v>
          </cell>
          <cell r="F34">
            <v>1422</v>
          </cell>
          <cell r="G34">
            <v>1672</v>
          </cell>
          <cell r="H34">
            <v>0.19980000000000001</v>
          </cell>
          <cell r="I34">
            <v>0.19980000000000001</v>
          </cell>
          <cell r="J34">
            <v>0.19980000000000001</v>
          </cell>
          <cell r="K34">
            <v>0.19980000000000001</v>
          </cell>
          <cell r="L34">
            <v>0</v>
          </cell>
          <cell r="M34">
            <v>1062</v>
          </cell>
          <cell r="N34">
            <v>0</v>
          </cell>
          <cell r="O34">
            <v>7.92E-3</v>
          </cell>
          <cell r="P34">
            <v>8.2979999999999998E-3</v>
          </cell>
          <cell r="Q34">
            <v>7740</v>
          </cell>
          <cell r="R34">
            <v>175</v>
          </cell>
          <cell r="S34">
            <v>177</v>
          </cell>
          <cell r="T34">
            <v>247</v>
          </cell>
          <cell r="U34">
            <v>350</v>
          </cell>
          <cell r="V34">
            <v>600</v>
          </cell>
          <cell r="W34">
            <v>650</v>
          </cell>
          <cell r="X34">
            <v>0.2</v>
          </cell>
          <cell r="Y34">
            <v>0</v>
          </cell>
          <cell r="Z34">
            <v>0.19980000000000001</v>
          </cell>
          <cell r="AA34">
            <v>0</v>
          </cell>
          <cell r="AB34">
            <v>937</v>
          </cell>
          <cell r="AC34">
            <v>7.9000000000000008E-3</v>
          </cell>
        </row>
        <row r="35">
          <cell r="B35" t="str">
            <v>11</v>
          </cell>
          <cell r="C35" t="str">
            <v>Kerala</v>
          </cell>
          <cell r="D35" t="str">
            <v>EX-SHOWROOM</v>
          </cell>
          <cell r="E35">
            <v>690</v>
          </cell>
          <cell r="F35">
            <v>1104</v>
          </cell>
          <cell r="G35">
            <v>1354</v>
          </cell>
          <cell r="H35">
            <v>0.15</v>
          </cell>
          <cell r="I35">
            <v>0.15</v>
          </cell>
          <cell r="J35">
            <v>0.21</v>
          </cell>
          <cell r="K35">
            <v>0.21</v>
          </cell>
          <cell r="L35">
            <v>0</v>
          </cell>
          <cell r="M35">
            <v>705</v>
          </cell>
          <cell r="N35">
            <v>0.21</v>
          </cell>
          <cell r="O35">
            <v>7.92E-3</v>
          </cell>
          <cell r="P35">
            <v>8.2979999999999998E-3</v>
          </cell>
          <cell r="Q35">
            <v>7740</v>
          </cell>
          <cell r="R35">
            <v>175</v>
          </cell>
          <cell r="S35">
            <v>177</v>
          </cell>
          <cell r="T35">
            <v>247</v>
          </cell>
          <cell r="U35">
            <v>350</v>
          </cell>
          <cell r="V35">
            <v>600</v>
          </cell>
          <cell r="W35">
            <v>332</v>
          </cell>
          <cell r="X35">
            <v>0.11</v>
          </cell>
          <cell r="Y35">
            <v>0.01</v>
          </cell>
          <cell r="Z35">
            <v>0.12</v>
          </cell>
          <cell r="AA35">
            <v>0</v>
          </cell>
          <cell r="AB35">
            <v>615</v>
          </cell>
          <cell r="AC35">
            <v>7.9000000000000008E-3</v>
          </cell>
        </row>
        <row r="36">
          <cell r="B36" t="str">
            <v>38</v>
          </cell>
          <cell r="C36" t="str">
            <v>Ladakh</v>
          </cell>
          <cell r="D36" t="str">
            <v>Basic</v>
          </cell>
          <cell r="E36">
            <v>1312</v>
          </cell>
          <cell r="F36">
            <v>772</v>
          </cell>
          <cell r="G36">
            <v>1022</v>
          </cell>
          <cell r="H36">
            <v>0.03</v>
          </cell>
          <cell r="I36">
            <v>0.03</v>
          </cell>
          <cell r="J36">
            <v>0.06</v>
          </cell>
          <cell r="K36">
            <v>0.06</v>
          </cell>
          <cell r="L36">
            <v>0</v>
          </cell>
          <cell r="M36">
            <v>0</v>
          </cell>
          <cell r="N36">
            <v>0.06</v>
          </cell>
          <cell r="O36">
            <v>7.92E-3</v>
          </cell>
          <cell r="P36">
            <v>8.2979999999999998E-3</v>
          </cell>
          <cell r="Q36">
            <v>7740</v>
          </cell>
          <cell r="R36">
            <v>175</v>
          </cell>
          <cell r="S36">
            <v>177</v>
          </cell>
          <cell r="T36">
            <v>247</v>
          </cell>
          <cell r="U36">
            <v>350</v>
          </cell>
          <cell r="V36">
            <v>600</v>
          </cell>
          <cell r="W36">
            <v>0</v>
          </cell>
          <cell r="X36">
            <v>0.03</v>
          </cell>
          <cell r="Y36">
            <v>0</v>
          </cell>
          <cell r="Z36">
            <v>0.03</v>
          </cell>
          <cell r="AA36">
            <v>0</v>
          </cell>
          <cell r="AB36">
            <v>0</v>
          </cell>
          <cell r="AC36">
            <v>7.9000000000000008E-3</v>
          </cell>
        </row>
        <row r="37">
          <cell r="B37" t="str">
            <v>37</v>
          </cell>
          <cell r="C37" t="str">
            <v>UTTARAKHAND</v>
          </cell>
          <cell r="D37" t="str">
            <v>EX-SHOWROOM</v>
          </cell>
          <cell r="E37">
            <v>764</v>
          </cell>
          <cell r="F37">
            <v>1772</v>
          </cell>
          <cell r="G37">
            <v>2022</v>
          </cell>
          <cell r="H37">
            <v>0.09</v>
          </cell>
          <cell r="I37">
            <v>0.09</v>
          </cell>
          <cell r="J37">
            <v>0.09</v>
          </cell>
          <cell r="K37">
            <v>0.09</v>
          </cell>
          <cell r="L37">
            <v>0</v>
          </cell>
          <cell r="M37">
            <v>1080</v>
          </cell>
          <cell r="N37">
            <v>0</v>
          </cell>
          <cell r="O37">
            <v>7.92E-3</v>
          </cell>
          <cell r="P37">
            <v>8.2979999999999998E-3</v>
          </cell>
          <cell r="Q37">
            <v>7740</v>
          </cell>
          <cell r="R37">
            <v>175</v>
          </cell>
          <cell r="S37">
            <v>177</v>
          </cell>
          <cell r="T37">
            <v>247</v>
          </cell>
          <cell r="U37">
            <v>350</v>
          </cell>
          <cell r="V37">
            <v>600</v>
          </cell>
          <cell r="W37">
            <v>1000</v>
          </cell>
          <cell r="X37">
            <v>0.09</v>
          </cell>
          <cell r="Y37">
            <v>0</v>
          </cell>
          <cell r="Z37">
            <v>0.09</v>
          </cell>
          <cell r="AA37">
            <v>0</v>
          </cell>
          <cell r="AB37">
            <v>1080</v>
          </cell>
          <cell r="AC37">
            <v>7.9000000000000008E-3</v>
          </cell>
        </row>
        <row r="41">
          <cell r="M41" t="str">
            <v>Rajasthan RTO Slab</v>
          </cell>
        </row>
        <row r="42">
          <cell r="M42" t="str">
            <v>Bike CC</v>
          </cell>
          <cell r="N42" t="str">
            <v>Ex-showromm</v>
          </cell>
          <cell r="O42" t="str">
            <v>Tax</v>
          </cell>
          <cell r="P42" t="str">
            <v>SurCharge</v>
          </cell>
          <cell r="Q42" t="str">
            <v>RTO Rate</v>
          </cell>
        </row>
        <row r="43">
          <cell r="M43" t="str">
            <v>&lt;500CC</v>
          </cell>
          <cell r="N43" t="str">
            <v>&gt;3 Laks</v>
          </cell>
          <cell r="O43">
            <v>0.13</v>
          </cell>
          <cell r="P43" t="str">
            <v>12.5% on Tax</v>
          </cell>
          <cell r="Q43">
            <v>14.625</v>
          </cell>
        </row>
        <row r="44">
          <cell r="M44" t="str">
            <v>&lt;500CC</v>
          </cell>
          <cell r="N44" t="str">
            <v>&lt;3 Laks</v>
          </cell>
          <cell r="O44">
            <v>0.13</v>
          </cell>
          <cell r="P44">
            <v>0</v>
          </cell>
          <cell r="Q44">
            <v>13</v>
          </cell>
        </row>
        <row r="45">
          <cell r="M45" t="str">
            <v>&gt;500CC</v>
          </cell>
          <cell r="N45" t="str">
            <v>&gt;3 Laks</v>
          </cell>
          <cell r="O45">
            <v>0.15</v>
          </cell>
          <cell r="P45" t="str">
            <v>12.5% on Tax</v>
          </cell>
          <cell r="Q45">
            <v>16.875</v>
          </cell>
        </row>
        <row r="46">
          <cell r="M46" t="str">
            <v>&gt;500CC</v>
          </cell>
          <cell r="N46" t="str">
            <v>&lt;3 Laks</v>
          </cell>
          <cell r="O46">
            <v>0.15</v>
          </cell>
          <cell r="P46">
            <v>0</v>
          </cell>
          <cell r="Q46">
            <v>15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171B7-6E0C-4ED5-93FC-8683148D5166}">
  <dimension ref="A1:AP1000"/>
  <sheetViews>
    <sheetView tabSelected="1" workbookViewId="0">
      <selection activeCell="C10" sqref="C10"/>
    </sheetView>
  </sheetViews>
  <sheetFormatPr defaultColWidth="12.6640625" defaultRowHeight="14.4" x14ac:dyDescent="0.3"/>
  <cols>
    <col min="1" max="1" width="13.33203125" customWidth="1"/>
    <col min="2" max="2" width="7" customWidth="1"/>
    <col min="3" max="3" width="11" customWidth="1"/>
    <col min="4" max="4" width="9.33203125" customWidth="1"/>
    <col min="5" max="5" width="23.77734375" customWidth="1"/>
    <col min="6" max="6" width="3.21875" customWidth="1"/>
    <col min="7" max="7" width="9.44140625" customWidth="1"/>
    <col min="8" max="8" width="15.6640625" customWidth="1"/>
    <col min="9" max="9" width="11.77734375" customWidth="1"/>
    <col min="10" max="10" width="12" customWidth="1"/>
    <col min="11" max="11" width="7.109375" customWidth="1"/>
    <col min="12" max="12" width="9.109375" customWidth="1"/>
    <col min="13" max="13" width="7.109375" customWidth="1"/>
    <col min="14" max="14" width="5.77734375" customWidth="1"/>
    <col min="15" max="15" width="11" customWidth="1"/>
    <col min="16" max="16" width="8.44140625" customWidth="1"/>
    <col min="17" max="17" width="11.33203125" customWidth="1"/>
    <col min="18" max="18" width="9.77734375" customWidth="1"/>
    <col min="19" max="19" width="9.88671875" customWidth="1"/>
    <col min="20" max="20" width="11.109375" customWidth="1"/>
    <col min="21" max="21" width="11.77734375" customWidth="1"/>
    <col min="22" max="22" width="15.109375" customWidth="1"/>
    <col min="23" max="23" width="7.109375" customWidth="1"/>
    <col min="24" max="24" width="7.33203125" customWidth="1"/>
    <col min="25" max="25" width="6" customWidth="1"/>
    <col min="26" max="26" width="9.109375" customWidth="1"/>
    <col min="27" max="27" width="11.109375" customWidth="1"/>
    <col min="28" max="28" width="10.109375" customWidth="1"/>
    <col min="29" max="29" width="5.109375" customWidth="1"/>
    <col min="30" max="30" width="6" customWidth="1"/>
    <col min="31" max="31" width="10.77734375" customWidth="1"/>
    <col min="32" max="32" width="13.109375" customWidth="1"/>
    <col min="33" max="33" width="12.21875" customWidth="1"/>
    <col min="34" max="34" width="7.44140625" customWidth="1"/>
    <col min="35" max="35" width="6.6640625" customWidth="1"/>
    <col min="36" max="36" width="5.109375" customWidth="1"/>
    <col min="37" max="37" width="13.88671875" customWidth="1"/>
    <col min="38" max="38" width="7.109375" customWidth="1"/>
    <col min="39" max="39" width="6.88671875" customWidth="1"/>
    <col min="40" max="40" width="10.21875" customWidth="1"/>
    <col min="41" max="41" width="3.77734375" customWidth="1"/>
    <col min="42" max="42" width="4.88671875" customWidth="1"/>
  </cols>
  <sheetData>
    <row r="1" spans="1:42" ht="15.7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3" t="s">
        <v>11</v>
      </c>
      <c r="M1" s="1" t="s">
        <v>10</v>
      </c>
      <c r="N1" s="1" t="s">
        <v>12</v>
      </c>
      <c r="O1" s="1" t="s">
        <v>13</v>
      </c>
      <c r="P1" s="1" t="s">
        <v>14</v>
      </c>
      <c r="Q1" s="1" t="s">
        <v>15</v>
      </c>
      <c r="R1" s="4" t="s">
        <v>16</v>
      </c>
      <c r="S1" s="4" t="s">
        <v>11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s="5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22</v>
      </c>
      <c r="AK1" s="1" t="s">
        <v>33</v>
      </c>
      <c r="AL1" s="1" t="s">
        <v>34</v>
      </c>
      <c r="AM1" s="6"/>
      <c r="AN1" s="1" t="s">
        <v>35</v>
      </c>
      <c r="AO1" s="1" t="s">
        <v>36</v>
      </c>
      <c r="AP1" s="1"/>
    </row>
    <row r="2" spans="1:42" ht="15.75" customHeight="1" x14ac:dyDescent="0.3">
      <c r="A2" s="7"/>
      <c r="B2" s="7"/>
      <c r="C2" s="7" t="str">
        <f t="shared" ref="C2:C246" si="0">D2&amp;G2</f>
        <v>VBFV60RR01</v>
      </c>
      <c r="D2" s="7" t="s">
        <v>37</v>
      </c>
      <c r="E2" s="7"/>
      <c r="F2" s="8">
        <v>350</v>
      </c>
      <c r="G2" s="9" t="s">
        <v>38</v>
      </c>
      <c r="H2" s="7" t="str">
        <f>VLOOKUP(G2,'[1]Price Components'!B:C,2,0)</f>
        <v>Andra Pradesh</v>
      </c>
      <c r="I2" s="7" t="str">
        <f>VLOOKUP(G2,'[1]Price Components'!B:D,3,0)</f>
        <v>EX-SHOWROOM</v>
      </c>
      <c r="J2" s="10">
        <f t="shared" ref="J2:J246" si="1">T2/W2</f>
        <v>4.249771174354499E-2</v>
      </c>
      <c r="K2" s="11">
        <v>144158</v>
      </c>
      <c r="L2" s="12">
        <f t="shared" ref="L2:L246" si="2">M2-K2</f>
        <v>121.5518310983316</v>
      </c>
      <c r="M2" s="11">
        <v>144279.55183109833</v>
      </c>
      <c r="N2" s="8">
        <v>1279</v>
      </c>
      <c r="O2" s="13">
        <f>VLOOKUP(G2,'[1]Price Components'!B:E,4,0)</f>
        <v>1250</v>
      </c>
      <c r="P2" s="13">
        <f t="shared" ref="P2:P246" si="3">ROUND(M2+N2+O2,0)</f>
        <v>146809</v>
      </c>
      <c r="Q2" s="14">
        <f>ROUND(IF(F2&lt;500,VLOOKUP(G2,'[1]Price Components'!B:G,5,0),VLOOKUP(G2,'[1]Price Components'!B:G,6,0)),2)</f>
        <v>772</v>
      </c>
      <c r="R2" s="11">
        <f t="shared" ref="R2:R246" si="4">ROUND(W2*4.25%,0)</f>
        <v>7986</v>
      </c>
      <c r="S2" s="13">
        <v>0</v>
      </c>
      <c r="T2" s="11">
        <f t="shared" ref="T2:T246" si="5">R2+S2</f>
        <v>7986</v>
      </c>
      <c r="U2" s="11">
        <v>292</v>
      </c>
      <c r="V2" s="13">
        <f t="shared" ref="V2:V246" si="6">T2+U2</f>
        <v>8278</v>
      </c>
      <c r="W2" s="13">
        <f t="shared" ref="W2:W246" si="7">ROUND(P2+IF(F2&lt;=350,P2*28%,P2*(28%+3%)),0)</f>
        <v>187916</v>
      </c>
      <c r="X2" s="13">
        <f t="shared" ref="X2:X246" si="8">P2+Q2+V2</f>
        <v>155859</v>
      </c>
      <c r="Y2" s="13">
        <f t="shared" ref="Y2:Y246" si="9">ROUND(+IF(F2&lt;=350,X2*28%,X2*(28%+3%)),0)</f>
        <v>43641</v>
      </c>
      <c r="Z2" s="11">
        <v>0</v>
      </c>
      <c r="AA2" s="13">
        <f t="shared" ref="AA2:AA4" si="10">ROUND(X2+Y2+Z2,0)</f>
        <v>199500</v>
      </c>
      <c r="AB2" s="13" t="str">
        <f t="shared" ref="AB2:AB127" si="11">IF(AA2&lt;=150000,"A",IF(AND(AA2&gt;150000,AA2&lt;=200000),"B",IF(AND(G2=20,F2&gt;=650,AA2&lt;=300000),"E",IF(AND(AA2&gt;200000,AA2&lt;300000),"C",IF(AA2&gt;300000,"D",0)))))</f>
        <v>B</v>
      </c>
      <c r="AC2" s="15">
        <f>IF(AB2="A",VLOOKUP($G2,'[1]Price Components'!$B:$AC,7,0),IF(AB2="B",VLOOKUP($G2,'[1]Price Components'!$B:$AC,8,0),IF(AB2="C",VLOOKUP($G2,'[1]Price Components'!$B:$AC,9,0),IF(AB2="E",15%,IF(AB2="D",VLOOKUP($G2,'[1]Price Components'!$B:$AC,10,0))))))</f>
        <v>0.12</v>
      </c>
      <c r="AD2" s="13">
        <f>ROUND(IF(AC2=0,VLOOKUP($G2,'[1]Price Components'!$B:$AC,11,0),IF(I2="BASIC",X2*AC2,AA2*AC2)),0)</f>
        <v>23940</v>
      </c>
      <c r="AE2" s="13">
        <f>ROUND(VLOOKUP($G2,'[1]Price Components'!$B:$AC,12,0),0)</f>
        <v>940</v>
      </c>
      <c r="AF2" s="16">
        <f>VLOOKUP($G2,'[1]Price Components'!$B:$AC,14,0)</f>
        <v>7.92E-3</v>
      </c>
      <c r="AG2" s="16">
        <f>VLOOKUP($G2,'[1]Price Components'!$B:$AC,15,0)</f>
        <v>8.2979999999999998E-3</v>
      </c>
      <c r="AH2" s="13">
        <f t="shared" ref="AH2:AH246" si="12">ROUND(0.95*IF(F2&lt;=350,(AA2*AF2),(AA2*AG2)),0)</f>
        <v>1501</v>
      </c>
      <c r="AI2" s="13">
        <f t="shared" ref="AI2:AI246" si="13">IF(F2&lt;=350,7740,15492)</f>
        <v>7740</v>
      </c>
      <c r="AJ2" s="13">
        <f t="shared" ref="AJ2:AJ246" si="14">ROUND((AH2+AI2)*(18%),0)</f>
        <v>1663</v>
      </c>
      <c r="AK2" s="13">
        <f t="shared" ref="AK2:AK246" si="15">AH2+AI2+AJ2</f>
        <v>10904</v>
      </c>
      <c r="AL2" s="13">
        <f t="shared" ref="AL2:AL246" si="16">ROUND(AA2+AD2+AE2+AK2,0)</f>
        <v>235284</v>
      </c>
      <c r="AM2" s="17"/>
      <c r="AN2" s="18">
        <v>199500</v>
      </c>
      <c r="AO2" s="18">
        <f t="shared" ref="AO2:AO246" si="17">AA2-AN2</f>
        <v>0</v>
      </c>
      <c r="AP2" s="18"/>
    </row>
    <row r="3" spans="1:42" ht="15.75" customHeight="1" x14ac:dyDescent="0.3">
      <c r="A3" s="7"/>
      <c r="B3" s="7"/>
      <c r="C3" s="7" t="str">
        <f t="shared" si="0"/>
        <v>VBFV60EB01</v>
      </c>
      <c r="D3" s="7" t="s">
        <v>39</v>
      </c>
      <c r="E3" s="7"/>
      <c r="F3" s="8">
        <v>350</v>
      </c>
      <c r="G3" s="9" t="s">
        <v>38</v>
      </c>
      <c r="H3" s="7" t="str">
        <f>VLOOKUP(G3,'[1]Price Components'!B:C,2,0)</f>
        <v>Andra Pradesh</v>
      </c>
      <c r="I3" s="7" t="str">
        <f>VLOOKUP(G3,'[1]Price Components'!B:D,3,0)</f>
        <v>EX-SHOWROOM</v>
      </c>
      <c r="J3" s="10">
        <f t="shared" si="1"/>
        <v>4.249771174354499E-2</v>
      </c>
      <c r="K3" s="11">
        <v>144158</v>
      </c>
      <c r="L3" s="12">
        <f t="shared" si="2"/>
        <v>121.5518310983316</v>
      </c>
      <c r="M3" s="11">
        <v>144279.55183109833</v>
      </c>
      <c r="N3" s="8">
        <v>1279</v>
      </c>
      <c r="O3" s="13">
        <f>VLOOKUP(G3,'[1]Price Components'!B:E,4,0)</f>
        <v>1250</v>
      </c>
      <c r="P3" s="13">
        <f t="shared" si="3"/>
        <v>146809</v>
      </c>
      <c r="Q3" s="14">
        <f>ROUND(IF(F3&lt;500,VLOOKUP(G3,'[1]Price Components'!B:G,5,0),VLOOKUP(G3,'[1]Price Components'!B:G,6,0)),2)</f>
        <v>772</v>
      </c>
      <c r="R3" s="11">
        <f t="shared" si="4"/>
        <v>7986</v>
      </c>
      <c r="S3" s="13">
        <v>0</v>
      </c>
      <c r="T3" s="11">
        <f t="shared" si="5"/>
        <v>7986</v>
      </c>
      <c r="U3" s="11">
        <v>292</v>
      </c>
      <c r="V3" s="13">
        <f t="shared" si="6"/>
        <v>8278</v>
      </c>
      <c r="W3" s="13">
        <f t="shared" si="7"/>
        <v>187916</v>
      </c>
      <c r="X3" s="13">
        <f t="shared" si="8"/>
        <v>155859</v>
      </c>
      <c r="Y3" s="13">
        <f t="shared" si="9"/>
        <v>43641</v>
      </c>
      <c r="Z3" s="11">
        <v>0</v>
      </c>
      <c r="AA3" s="13">
        <f t="shared" si="10"/>
        <v>199500</v>
      </c>
      <c r="AB3" s="13" t="str">
        <f t="shared" si="11"/>
        <v>B</v>
      </c>
      <c r="AC3" s="15">
        <f>IF(AB3="A",VLOOKUP($G3,'[1]Price Components'!$B:$AC,7,0),IF(AB3="B",VLOOKUP($G3,'[1]Price Components'!$B:$AC,8,0),IF(AB3="C",VLOOKUP($G3,'[1]Price Components'!$B:$AC,9,0),IF(AB3="E",15%,IF(AB3="D",VLOOKUP($G3,'[1]Price Components'!$B:$AC,10,0))))))</f>
        <v>0.12</v>
      </c>
      <c r="AD3" s="13">
        <f>ROUND(IF(AC3=0,VLOOKUP($G3,'[1]Price Components'!$B:$AC,11,0),IF(I3="BASIC",X3*AC3,AA3*AC3)),0)</f>
        <v>23940</v>
      </c>
      <c r="AE3" s="13">
        <f>ROUND(VLOOKUP($G3,'[1]Price Components'!$B:$AC,12,0),0)</f>
        <v>940</v>
      </c>
      <c r="AF3" s="16">
        <f>VLOOKUP($G3,'[1]Price Components'!$B:$AC,14,0)</f>
        <v>7.92E-3</v>
      </c>
      <c r="AG3" s="16">
        <f>VLOOKUP($G3,'[1]Price Components'!$B:$AC,15,0)</f>
        <v>8.2979999999999998E-3</v>
      </c>
      <c r="AH3" s="13">
        <f t="shared" si="12"/>
        <v>1501</v>
      </c>
      <c r="AI3" s="13">
        <f t="shared" si="13"/>
        <v>7740</v>
      </c>
      <c r="AJ3" s="13">
        <f t="shared" si="14"/>
        <v>1663</v>
      </c>
      <c r="AK3" s="13">
        <f t="shared" si="15"/>
        <v>10904</v>
      </c>
      <c r="AL3" s="13">
        <f t="shared" si="16"/>
        <v>235284</v>
      </c>
      <c r="AM3" s="17"/>
      <c r="AN3" s="18">
        <v>199500</v>
      </c>
      <c r="AO3" s="18">
        <f t="shared" si="17"/>
        <v>0</v>
      </c>
      <c r="AP3" s="18"/>
    </row>
    <row r="4" spans="1:42" ht="15.75" customHeight="1" x14ac:dyDescent="0.3">
      <c r="A4" s="7"/>
      <c r="B4" s="7"/>
      <c r="C4" s="7" t="str">
        <f t="shared" si="0"/>
        <v>VBFV60HG01</v>
      </c>
      <c r="D4" s="7" t="s">
        <v>40</v>
      </c>
      <c r="E4" s="7"/>
      <c r="F4" s="8">
        <v>350</v>
      </c>
      <c r="G4" s="9" t="s">
        <v>38</v>
      </c>
      <c r="H4" s="7" t="str">
        <f>VLOOKUP(G4,'[1]Price Components'!B:C,2,0)</f>
        <v>Andra Pradesh</v>
      </c>
      <c r="I4" s="7" t="str">
        <f>VLOOKUP(G4,'[1]Price Components'!B:D,3,0)</f>
        <v>EX-SHOWROOM</v>
      </c>
      <c r="J4" s="10">
        <f t="shared" si="1"/>
        <v>4.2501157750685546E-2</v>
      </c>
      <c r="K4" s="11">
        <v>147492</v>
      </c>
      <c r="L4" s="12">
        <f t="shared" si="2"/>
        <v>122.29236180905718</v>
      </c>
      <c r="M4" s="11">
        <v>147614.29236180906</v>
      </c>
      <c r="N4" s="8">
        <v>1279</v>
      </c>
      <c r="O4" s="13">
        <f>VLOOKUP(G4,'[1]Price Components'!B:E,4,0)</f>
        <v>1250</v>
      </c>
      <c r="P4" s="13">
        <f t="shared" si="3"/>
        <v>150143</v>
      </c>
      <c r="Q4" s="14">
        <f>ROUND(IF(F4&lt;500,VLOOKUP(G4,'[1]Price Components'!B:G,5,0),VLOOKUP(G4,'[1]Price Components'!B:G,6,0)),2)</f>
        <v>772</v>
      </c>
      <c r="R4" s="11">
        <f t="shared" si="4"/>
        <v>8168</v>
      </c>
      <c r="S4" s="13">
        <v>0</v>
      </c>
      <c r="T4" s="11">
        <f t="shared" si="5"/>
        <v>8168</v>
      </c>
      <c r="U4" s="11">
        <v>292</v>
      </c>
      <c r="V4" s="13">
        <f t="shared" si="6"/>
        <v>8460</v>
      </c>
      <c r="W4" s="13">
        <f t="shared" si="7"/>
        <v>192183</v>
      </c>
      <c r="X4" s="13">
        <f t="shared" si="8"/>
        <v>159375</v>
      </c>
      <c r="Y4" s="13">
        <f t="shared" si="9"/>
        <v>44625</v>
      </c>
      <c r="Z4" s="11">
        <v>0</v>
      </c>
      <c r="AA4" s="13">
        <f t="shared" si="10"/>
        <v>204000</v>
      </c>
      <c r="AB4" s="13" t="str">
        <f t="shared" si="11"/>
        <v>C</v>
      </c>
      <c r="AC4" s="15">
        <f>IF(AB4="A",VLOOKUP($G4,'[1]Price Components'!$B:$AC,7,0),IF(AB4="B",VLOOKUP($G4,'[1]Price Components'!$B:$AC,8,0),IF(AB4="C",VLOOKUP($G4,'[1]Price Components'!$B:$AC,9,0),IF(AB4="E",15%,IF(AB4="D",VLOOKUP($G4,'[1]Price Components'!$B:$AC,10,0))))))</f>
        <v>0.12</v>
      </c>
      <c r="AD4" s="13">
        <f>ROUND(IF(AC4=0,VLOOKUP($G4,'[1]Price Components'!$B:$AC,11,0),IF(I4="BASIC",X4*AC4,AA4*AC4)),0)</f>
        <v>24480</v>
      </c>
      <c r="AE4" s="13">
        <f>ROUND(VLOOKUP($G4,'[1]Price Components'!$B:$AC,12,0),0)</f>
        <v>940</v>
      </c>
      <c r="AF4" s="16">
        <f>VLOOKUP($G4,'[1]Price Components'!$B:$AC,14,0)</f>
        <v>7.92E-3</v>
      </c>
      <c r="AG4" s="16">
        <f>VLOOKUP($G4,'[1]Price Components'!$B:$AC,15,0)</f>
        <v>8.2979999999999998E-3</v>
      </c>
      <c r="AH4" s="13">
        <f t="shared" si="12"/>
        <v>1535</v>
      </c>
      <c r="AI4" s="13">
        <f t="shared" si="13"/>
        <v>7740</v>
      </c>
      <c r="AJ4" s="13">
        <f t="shared" si="14"/>
        <v>1670</v>
      </c>
      <c r="AK4" s="13">
        <f t="shared" si="15"/>
        <v>10945</v>
      </c>
      <c r="AL4" s="13">
        <f t="shared" si="16"/>
        <v>240365</v>
      </c>
      <c r="AM4" s="17"/>
      <c r="AN4" s="18">
        <v>204000</v>
      </c>
      <c r="AO4" s="18">
        <f t="shared" si="17"/>
        <v>0</v>
      </c>
      <c r="AP4" s="18"/>
    </row>
    <row r="5" spans="1:42" ht="15.75" customHeight="1" x14ac:dyDescent="0.3">
      <c r="A5" s="7"/>
      <c r="B5" s="7"/>
      <c r="C5" s="7" t="str">
        <f t="shared" si="0"/>
        <v>VBFV60SE01</v>
      </c>
      <c r="D5" s="7" t="s">
        <v>41</v>
      </c>
      <c r="E5" s="7"/>
      <c r="F5" s="8">
        <v>350</v>
      </c>
      <c r="G5" s="9" t="s">
        <v>38</v>
      </c>
      <c r="H5" s="7" t="str">
        <f>VLOOKUP(G5,'[1]Price Components'!B:C,2,0)</f>
        <v>Andra Pradesh</v>
      </c>
      <c r="I5" s="7" t="str">
        <f>VLOOKUP(G5,'[1]Price Components'!B:D,3,0)</f>
        <v>EX-SHOWROOM</v>
      </c>
      <c r="J5" s="10">
        <f t="shared" si="1"/>
        <v>4.2497691143817178E-2</v>
      </c>
      <c r="K5" s="11">
        <v>156384</v>
      </c>
      <c r="L5" s="12">
        <f t="shared" si="2"/>
        <v>121.49181252846029</v>
      </c>
      <c r="M5" s="11">
        <v>156505.49181252846</v>
      </c>
      <c r="N5" s="8">
        <v>1279</v>
      </c>
      <c r="O5" s="13">
        <f>VLOOKUP(G5,'[1]Price Components'!B:E,4,0)</f>
        <v>1250</v>
      </c>
      <c r="P5" s="13">
        <f t="shared" si="3"/>
        <v>159034</v>
      </c>
      <c r="Q5" s="14">
        <f>ROUND(IF(F5&lt;500,VLOOKUP(G5,'[1]Price Components'!B:G,5,0),VLOOKUP(G5,'[1]Price Components'!B:G,6,0)),2)</f>
        <v>772</v>
      </c>
      <c r="R5" s="11">
        <f t="shared" si="4"/>
        <v>8651</v>
      </c>
      <c r="S5" s="13">
        <v>0</v>
      </c>
      <c r="T5" s="11">
        <f t="shared" si="5"/>
        <v>8651</v>
      </c>
      <c r="U5" s="11">
        <v>292</v>
      </c>
      <c r="V5" s="13">
        <f t="shared" si="6"/>
        <v>8943</v>
      </c>
      <c r="W5" s="13">
        <f t="shared" si="7"/>
        <v>203564</v>
      </c>
      <c r="X5" s="13">
        <f t="shared" si="8"/>
        <v>168749</v>
      </c>
      <c r="Y5" s="13">
        <f t="shared" si="9"/>
        <v>47250</v>
      </c>
      <c r="Z5" s="11">
        <v>0</v>
      </c>
      <c r="AA5" s="13">
        <f>ROUND(X5+Y5+Z5,0)+1</f>
        <v>216000</v>
      </c>
      <c r="AB5" s="13" t="str">
        <f t="shared" si="11"/>
        <v>C</v>
      </c>
      <c r="AC5" s="15">
        <f>IF(AB5="A",VLOOKUP($G5,'[1]Price Components'!$B:$AC,7,0),IF(AB5="B",VLOOKUP($G5,'[1]Price Components'!$B:$AC,8,0),IF(AB5="C",VLOOKUP($G5,'[1]Price Components'!$B:$AC,9,0),IF(AB5="E",15%,IF(AB5="D",VLOOKUP($G5,'[1]Price Components'!$B:$AC,10,0))))))</f>
        <v>0.12</v>
      </c>
      <c r="AD5" s="13">
        <f>ROUND(IF(AC5=0,VLOOKUP($G5,'[1]Price Components'!$B:$AC,11,0),IF(I5="BASIC",X5*AC5,AA5*AC5)),0)</f>
        <v>25920</v>
      </c>
      <c r="AE5" s="13">
        <f>ROUND(VLOOKUP($G5,'[1]Price Components'!$B:$AC,12,0),0)</f>
        <v>940</v>
      </c>
      <c r="AF5" s="16">
        <f>VLOOKUP($G5,'[1]Price Components'!$B:$AC,14,0)</f>
        <v>7.92E-3</v>
      </c>
      <c r="AG5" s="16">
        <f>VLOOKUP($G5,'[1]Price Components'!$B:$AC,15,0)</f>
        <v>8.2979999999999998E-3</v>
      </c>
      <c r="AH5" s="13">
        <f t="shared" si="12"/>
        <v>1625</v>
      </c>
      <c r="AI5" s="13">
        <f t="shared" si="13"/>
        <v>7740</v>
      </c>
      <c r="AJ5" s="13">
        <f t="shared" si="14"/>
        <v>1686</v>
      </c>
      <c r="AK5" s="13">
        <f t="shared" si="15"/>
        <v>11051</v>
      </c>
      <c r="AL5" s="13">
        <f t="shared" si="16"/>
        <v>253911</v>
      </c>
      <c r="AM5" s="17"/>
      <c r="AN5" s="18">
        <v>216000</v>
      </c>
      <c r="AO5" s="18">
        <f t="shared" si="17"/>
        <v>0</v>
      </c>
      <c r="AP5" s="18"/>
    </row>
    <row r="6" spans="1:42" ht="15.75" customHeight="1" x14ac:dyDescent="0.3">
      <c r="A6" s="7"/>
      <c r="B6" s="7"/>
      <c r="C6" s="7" t="str">
        <f t="shared" si="0"/>
        <v>VBFV60GM01</v>
      </c>
      <c r="D6" s="7" t="s">
        <v>42</v>
      </c>
      <c r="E6" s="7"/>
      <c r="F6" s="8">
        <v>350</v>
      </c>
      <c r="G6" s="9" t="s">
        <v>38</v>
      </c>
      <c r="H6" s="7" t="str">
        <f>VLOOKUP(G6,'[1]Price Components'!B:C,2,0)</f>
        <v>Andra Pradesh</v>
      </c>
      <c r="I6" s="7" t="str">
        <f>VLOOKUP(G6,'[1]Price Components'!B:D,3,0)</f>
        <v>EX-SHOWROOM</v>
      </c>
      <c r="J6" s="10">
        <f t="shared" si="1"/>
        <v>4.2498821310702498E-2</v>
      </c>
      <c r="K6" s="11">
        <v>163052</v>
      </c>
      <c r="L6" s="12">
        <f t="shared" si="2"/>
        <v>121.547854545468</v>
      </c>
      <c r="M6" s="11">
        <v>163173.54785454547</v>
      </c>
      <c r="N6" s="8">
        <v>1279</v>
      </c>
      <c r="O6" s="13">
        <f>VLOOKUP(G6,'[1]Price Components'!B:E,4,0)</f>
        <v>1250</v>
      </c>
      <c r="P6" s="13">
        <f t="shared" si="3"/>
        <v>165703</v>
      </c>
      <c r="Q6" s="14">
        <f>ROUND(IF(F6&lt;500,VLOOKUP(G6,'[1]Price Components'!B:G,5,0),VLOOKUP(G6,'[1]Price Components'!B:G,6,0)),2)</f>
        <v>772</v>
      </c>
      <c r="R6" s="11">
        <f t="shared" si="4"/>
        <v>9014</v>
      </c>
      <c r="S6" s="13">
        <v>0</v>
      </c>
      <c r="T6" s="11">
        <f t="shared" si="5"/>
        <v>9014</v>
      </c>
      <c r="U6" s="11">
        <v>292</v>
      </c>
      <c r="V6" s="13">
        <f t="shared" si="6"/>
        <v>9306</v>
      </c>
      <c r="W6" s="13">
        <f t="shared" si="7"/>
        <v>212100</v>
      </c>
      <c r="X6" s="13">
        <f t="shared" si="8"/>
        <v>175781</v>
      </c>
      <c r="Y6" s="13">
        <f t="shared" si="9"/>
        <v>49219</v>
      </c>
      <c r="Z6" s="11">
        <v>0</v>
      </c>
      <c r="AA6" s="13">
        <f t="shared" ref="AA6:AA7" si="18">ROUND(X6+Y6+Z6,0)</f>
        <v>225000</v>
      </c>
      <c r="AB6" s="13" t="str">
        <f t="shared" si="11"/>
        <v>C</v>
      </c>
      <c r="AC6" s="15">
        <f>IF(AB6="A",VLOOKUP($G6,'[1]Price Components'!$B:$AC,7,0),IF(AB6="B",VLOOKUP($G6,'[1]Price Components'!$B:$AC,8,0),IF(AB6="C",VLOOKUP($G6,'[1]Price Components'!$B:$AC,9,0),IF(AB6="E",15%,IF(AB6="D",VLOOKUP($G6,'[1]Price Components'!$B:$AC,10,0))))))</f>
        <v>0.12</v>
      </c>
      <c r="AD6" s="13">
        <f>ROUND(IF(AC6=0,VLOOKUP($G6,'[1]Price Components'!$B:$AC,11,0),IF(I6="BASIC",X6*AC6,AA6*AC6)),0)</f>
        <v>27000</v>
      </c>
      <c r="AE6" s="13">
        <f>ROUND(VLOOKUP($G6,'[1]Price Components'!$B:$AC,12,0),0)</f>
        <v>940</v>
      </c>
      <c r="AF6" s="16">
        <f>VLOOKUP($G6,'[1]Price Components'!$B:$AC,14,0)</f>
        <v>7.92E-3</v>
      </c>
      <c r="AG6" s="16">
        <f>VLOOKUP($G6,'[1]Price Components'!$B:$AC,15,0)</f>
        <v>8.2979999999999998E-3</v>
      </c>
      <c r="AH6" s="13">
        <f t="shared" si="12"/>
        <v>1693</v>
      </c>
      <c r="AI6" s="13">
        <f t="shared" si="13"/>
        <v>7740</v>
      </c>
      <c r="AJ6" s="13">
        <f t="shared" si="14"/>
        <v>1698</v>
      </c>
      <c r="AK6" s="13">
        <f t="shared" si="15"/>
        <v>11131</v>
      </c>
      <c r="AL6" s="13">
        <f t="shared" si="16"/>
        <v>264071</v>
      </c>
      <c r="AM6" s="17"/>
      <c r="AN6" s="18">
        <v>225000</v>
      </c>
      <c r="AO6" s="18">
        <f t="shared" si="17"/>
        <v>0</v>
      </c>
      <c r="AP6" s="18"/>
    </row>
    <row r="7" spans="1:42" ht="15.75" customHeight="1" x14ac:dyDescent="0.3">
      <c r="A7" s="7"/>
      <c r="B7" s="7"/>
      <c r="C7" s="7" t="str">
        <f t="shared" si="0"/>
        <v>VBFV60SB01</v>
      </c>
      <c r="D7" s="7" t="s">
        <v>43</v>
      </c>
      <c r="E7" s="7"/>
      <c r="F7" s="8">
        <v>350</v>
      </c>
      <c r="G7" s="9" t="s">
        <v>38</v>
      </c>
      <c r="H7" s="7" t="str">
        <f>VLOOKUP(G7,'[1]Price Components'!B:C,2,0)</f>
        <v>Andra Pradesh</v>
      </c>
      <c r="I7" s="7" t="str">
        <f>VLOOKUP(G7,'[1]Price Components'!B:D,3,0)</f>
        <v>EX-SHOWROOM</v>
      </c>
      <c r="J7" s="10">
        <f t="shared" si="1"/>
        <v>4.2498821310702498E-2</v>
      </c>
      <c r="K7" s="11">
        <v>163052</v>
      </c>
      <c r="L7" s="12">
        <f t="shared" si="2"/>
        <v>121.547854545468</v>
      </c>
      <c r="M7" s="11">
        <v>163173.54785454547</v>
      </c>
      <c r="N7" s="8">
        <v>1279</v>
      </c>
      <c r="O7" s="13">
        <f>VLOOKUP(G7,'[1]Price Components'!B:E,4,0)</f>
        <v>1250</v>
      </c>
      <c r="P7" s="13">
        <f t="shared" si="3"/>
        <v>165703</v>
      </c>
      <c r="Q7" s="14">
        <f>ROUND(IF(F7&lt;500,VLOOKUP(G7,'[1]Price Components'!B:G,5,0),VLOOKUP(G7,'[1]Price Components'!B:G,6,0)),2)</f>
        <v>772</v>
      </c>
      <c r="R7" s="11">
        <f t="shared" si="4"/>
        <v>9014</v>
      </c>
      <c r="S7" s="13">
        <v>0</v>
      </c>
      <c r="T7" s="11">
        <f t="shared" si="5"/>
        <v>9014</v>
      </c>
      <c r="U7" s="11">
        <v>292</v>
      </c>
      <c r="V7" s="13">
        <f t="shared" si="6"/>
        <v>9306</v>
      </c>
      <c r="W7" s="13">
        <f t="shared" si="7"/>
        <v>212100</v>
      </c>
      <c r="X7" s="13">
        <f t="shared" si="8"/>
        <v>175781</v>
      </c>
      <c r="Y7" s="13">
        <f t="shared" si="9"/>
        <v>49219</v>
      </c>
      <c r="Z7" s="11">
        <v>0</v>
      </c>
      <c r="AA7" s="13">
        <f t="shared" si="18"/>
        <v>225000</v>
      </c>
      <c r="AB7" s="13" t="str">
        <f t="shared" si="11"/>
        <v>C</v>
      </c>
      <c r="AC7" s="15">
        <f>IF(AB7="A",VLOOKUP($G7,'[1]Price Components'!$B:$AC,7,0),IF(AB7="B",VLOOKUP($G7,'[1]Price Components'!$B:$AC,8,0),IF(AB7="C",VLOOKUP($G7,'[1]Price Components'!$B:$AC,9,0),IF(AB7="E",15%,IF(AB7="D",VLOOKUP($G7,'[1]Price Components'!$B:$AC,10,0))))))</f>
        <v>0.12</v>
      </c>
      <c r="AD7" s="13">
        <f>ROUND(IF(AC7=0,VLOOKUP($G7,'[1]Price Components'!$B:$AC,11,0),IF(I7="BASIC",X7*AC7,AA7*AC7)),0)</f>
        <v>27000</v>
      </c>
      <c r="AE7" s="13">
        <f>ROUND(VLOOKUP($G7,'[1]Price Components'!$B:$AC,12,0),0)</f>
        <v>940</v>
      </c>
      <c r="AF7" s="16">
        <f>VLOOKUP($G7,'[1]Price Components'!$B:$AC,14,0)</f>
        <v>7.92E-3</v>
      </c>
      <c r="AG7" s="16">
        <f>VLOOKUP($G7,'[1]Price Components'!$B:$AC,15,0)</f>
        <v>8.2979999999999998E-3</v>
      </c>
      <c r="AH7" s="13">
        <f t="shared" si="12"/>
        <v>1693</v>
      </c>
      <c r="AI7" s="13">
        <f t="shared" si="13"/>
        <v>7740</v>
      </c>
      <c r="AJ7" s="13">
        <f t="shared" si="14"/>
        <v>1698</v>
      </c>
      <c r="AK7" s="13">
        <f t="shared" si="15"/>
        <v>11131</v>
      </c>
      <c r="AL7" s="13">
        <f t="shared" si="16"/>
        <v>264071</v>
      </c>
      <c r="AM7" s="17"/>
      <c r="AN7" s="18">
        <v>225000</v>
      </c>
      <c r="AO7" s="18">
        <f t="shared" si="17"/>
        <v>0</v>
      </c>
      <c r="AP7" s="18"/>
    </row>
    <row r="8" spans="1:42" ht="15.75" customHeight="1" x14ac:dyDescent="0.3">
      <c r="A8" s="7"/>
      <c r="B8" s="7"/>
      <c r="C8" s="7" t="str">
        <f t="shared" si="0"/>
        <v>VBFV60DN01</v>
      </c>
      <c r="D8" s="7" t="s">
        <v>44</v>
      </c>
      <c r="E8" s="7"/>
      <c r="F8" s="8">
        <v>350</v>
      </c>
      <c r="G8" s="9" t="s">
        <v>38</v>
      </c>
      <c r="H8" s="7" t="str">
        <f>VLOOKUP(G8,'[1]Price Components'!B:C,2,0)</f>
        <v>Andra Pradesh</v>
      </c>
      <c r="I8" s="7" t="str">
        <f>VLOOKUP(G8,'[1]Price Components'!B:D,3,0)</f>
        <v>EX-SHOWROOM</v>
      </c>
      <c r="J8" s="10">
        <f t="shared" si="1"/>
        <v>4.250118750605282E-2</v>
      </c>
      <c r="K8" s="11">
        <v>166757</v>
      </c>
      <c r="L8" s="12">
        <f t="shared" si="2"/>
        <v>121.49344249418937</v>
      </c>
      <c r="M8" s="11">
        <v>166878.49344249419</v>
      </c>
      <c r="N8" s="8">
        <v>1279</v>
      </c>
      <c r="O8" s="13">
        <f>VLOOKUP(G8,'[1]Price Components'!B:E,4,0)</f>
        <v>1250</v>
      </c>
      <c r="P8" s="13">
        <f t="shared" si="3"/>
        <v>169407</v>
      </c>
      <c r="Q8" s="14">
        <f>ROUND(IF(F8&lt;500,VLOOKUP(G8,'[1]Price Components'!B:G,5,0),VLOOKUP(G8,'[1]Price Components'!B:G,6,0)),2)</f>
        <v>772</v>
      </c>
      <c r="R8" s="11">
        <f t="shared" si="4"/>
        <v>9216</v>
      </c>
      <c r="S8" s="13">
        <v>0</v>
      </c>
      <c r="T8" s="11">
        <f t="shared" si="5"/>
        <v>9216</v>
      </c>
      <c r="U8" s="11">
        <v>292</v>
      </c>
      <c r="V8" s="13">
        <f t="shared" si="6"/>
        <v>9508</v>
      </c>
      <c r="W8" s="13">
        <f t="shared" si="7"/>
        <v>216841</v>
      </c>
      <c r="X8" s="13">
        <f t="shared" si="8"/>
        <v>179687</v>
      </c>
      <c r="Y8" s="13">
        <f t="shared" si="9"/>
        <v>50312</v>
      </c>
      <c r="Z8" s="11">
        <v>0</v>
      </c>
      <c r="AA8" s="13">
        <f>ROUND(X8+Y8+Z8,0)+1</f>
        <v>230000</v>
      </c>
      <c r="AB8" s="13" t="str">
        <f t="shared" si="11"/>
        <v>C</v>
      </c>
      <c r="AC8" s="15">
        <f>IF(AB8="A",VLOOKUP($G8,'[1]Price Components'!$B:$AC,7,0),IF(AB8="B",VLOOKUP($G8,'[1]Price Components'!$B:$AC,8,0),IF(AB8="C",VLOOKUP($G8,'[1]Price Components'!$B:$AC,9,0),IF(AB8="E",15%,IF(AB8="D",VLOOKUP($G8,'[1]Price Components'!$B:$AC,10,0))))))</f>
        <v>0.12</v>
      </c>
      <c r="AD8" s="13">
        <f>ROUND(IF(AC8=0,VLOOKUP($G8,'[1]Price Components'!$B:$AC,11,0),IF(I8="BASIC",X8*AC8,AA8*AC8)),0)</f>
        <v>27600</v>
      </c>
      <c r="AE8" s="13">
        <f>ROUND(VLOOKUP($G8,'[1]Price Components'!$B:$AC,12,0),0)</f>
        <v>940</v>
      </c>
      <c r="AF8" s="16">
        <f>VLOOKUP($G8,'[1]Price Components'!$B:$AC,14,0)</f>
        <v>7.92E-3</v>
      </c>
      <c r="AG8" s="16">
        <f>VLOOKUP($G8,'[1]Price Components'!$B:$AC,15,0)</f>
        <v>8.2979999999999998E-3</v>
      </c>
      <c r="AH8" s="13">
        <f t="shared" si="12"/>
        <v>1731</v>
      </c>
      <c r="AI8" s="13">
        <f t="shared" si="13"/>
        <v>7740</v>
      </c>
      <c r="AJ8" s="13">
        <f t="shared" si="14"/>
        <v>1705</v>
      </c>
      <c r="AK8" s="13">
        <f t="shared" si="15"/>
        <v>11176</v>
      </c>
      <c r="AL8" s="13">
        <f t="shared" si="16"/>
        <v>269716</v>
      </c>
      <c r="AM8" s="17"/>
      <c r="AN8" s="18">
        <v>230000</v>
      </c>
      <c r="AO8" s="18">
        <f t="shared" si="17"/>
        <v>0</v>
      </c>
      <c r="AP8" s="18"/>
    </row>
    <row r="9" spans="1:42" ht="15.75" customHeight="1" x14ac:dyDescent="0.3">
      <c r="A9" s="7"/>
      <c r="B9" s="7"/>
      <c r="C9" s="7" t="str">
        <f t="shared" si="0"/>
        <v>VBFV60RR02</v>
      </c>
      <c r="D9" s="7" t="s">
        <v>37</v>
      </c>
      <c r="E9" s="7"/>
      <c r="F9" s="8">
        <v>350</v>
      </c>
      <c r="G9" s="9" t="s">
        <v>45</v>
      </c>
      <c r="H9" s="7" t="str">
        <f>VLOOKUP(G9,'[1]Price Components'!B:C,2,0)</f>
        <v>Arunachal Pradesh</v>
      </c>
      <c r="I9" s="7" t="str">
        <f>VLOOKUP(G9,'[1]Price Components'!B:D,3,0)</f>
        <v>EX-SHOWROOM</v>
      </c>
      <c r="J9" s="10">
        <f t="shared" si="1"/>
        <v>4.2501109026675435E-2</v>
      </c>
      <c r="K9" s="11">
        <v>144158</v>
      </c>
      <c r="L9" s="12">
        <f t="shared" si="2"/>
        <v>-323.72438052890357</v>
      </c>
      <c r="M9" s="11">
        <v>143834.2756194711</v>
      </c>
      <c r="N9" s="8">
        <v>1279</v>
      </c>
      <c r="O9" s="13">
        <f>VLOOKUP(G9,'[1]Price Components'!B:E,4,0)</f>
        <v>1060</v>
      </c>
      <c r="P9" s="13">
        <f t="shared" si="3"/>
        <v>146173</v>
      </c>
      <c r="Q9" s="14">
        <f>ROUND(IF(F9&lt;500,VLOOKUP(G9,'[1]Price Components'!B:G,5,0),VLOOKUP(G9,'[1]Price Components'!B:G,6,0)),2)</f>
        <v>1442</v>
      </c>
      <c r="R9" s="11">
        <f t="shared" si="4"/>
        <v>7952</v>
      </c>
      <c r="S9" s="13">
        <v>0</v>
      </c>
      <c r="T9" s="11">
        <f t="shared" si="5"/>
        <v>7952</v>
      </c>
      <c r="U9" s="11">
        <v>292</v>
      </c>
      <c r="V9" s="13">
        <f t="shared" si="6"/>
        <v>8244</v>
      </c>
      <c r="W9" s="13">
        <f t="shared" si="7"/>
        <v>187101</v>
      </c>
      <c r="X9" s="13">
        <f t="shared" si="8"/>
        <v>155859</v>
      </c>
      <c r="Y9" s="13">
        <f t="shared" si="9"/>
        <v>43641</v>
      </c>
      <c r="Z9" s="11">
        <v>0</v>
      </c>
      <c r="AA9" s="13">
        <f t="shared" ref="AA9:AA14" si="19">ROUND(X9+Y9+Z9,0)</f>
        <v>199500</v>
      </c>
      <c r="AB9" s="13" t="str">
        <f t="shared" si="11"/>
        <v>B</v>
      </c>
      <c r="AC9" s="15">
        <f>IF(AB9="A",VLOOKUP($G9,'[1]Price Components'!$B:$AC,7,0),IF(AB9="B",VLOOKUP($G9,'[1]Price Components'!$B:$AC,8,0),IF(AB9="C",VLOOKUP($G9,'[1]Price Components'!$B:$AC,9,0),IF(AB9="E",15%,IF(AB9="D",VLOOKUP($G9,'[1]Price Components'!$B:$AC,10,0))))))</f>
        <v>0</v>
      </c>
      <c r="AD9" s="13">
        <f>ROUND(IF(AC9=0,VLOOKUP($G9,'[1]Price Components'!$B:$AC,11,0),IF(I9="BASIC",X9*AC9,AA9*AC9)),0)</f>
        <v>3700</v>
      </c>
      <c r="AE9" s="13">
        <f>ROUND(VLOOKUP($G9,'[1]Price Components'!$B:$AC,12,0),0)</f>
        <v>1160</v>
      </c>
      <c r="AF9" s="16">
        <f>VLOOKUP($G9,'[1]Price Components'!$B:$AC,14,0)</f>
        <v>7.92E-3</v>
      </c>
      <c r="AG9" s="16">
        <f>VLOOKUP($G9,'[1]Price Components'!$B:$AC,15,0)</f>
        <v>8.2979999999999998E-3</v>
      </c>
      <c r="AH9" s="13">
        <f t="shared" si="12"/>
        <v>1501</v>
      </c>
      <c r="AI9" s="13">
        <f t="shared" si="13"/>
        <v>7740</v>
      </c>
      <c r="AJ9" s="13">
        <f t="shared" si="14"/>
        <v>1663</v>
      </c>
      <c r="AK9" s="13">
        <f t="shared" si="15"/>
        <v>10904</v>
      </c>
      <c r="AL9" s="13">
        <f t="shared" si="16"/>
        <v>215264</v>
      </c>
      <c r="AM9" s="17"/>
      <c r="AN9" s="18">
        <v>199500</v>
      </c>
      <c r="AO9" s="18">
        <f t="shared" si="17"/>
        <v>0</v>
      </c>
      <c r="AP9" s="18"/>
    </row>
    <row r="10" spans="1:42" ht="15.75" customHeight="1" x14ac:dyDescent="0.3">
      <c r="A10" s="7"/>
      <c r="B10" s="7"/>
      <c r="C10" s="7" t="str">
        <f t="shared" si="0"/>
        <v>VBFV60EB02</v>
      </c>
      <c r="D10" s="7" t="s">
        <v>39</v>
      </c>
      <c r="E10" s="7"/>
      <c r="F10" s="8">
        <v>350</v>
      </c>
      <c r="G10" s="9" t="s">
        <v>45</v>
      </c>
      <c r="H10" s="7" t="str">
        <f>VLOOKUP(G10,'[1]Price Components'!B:C,2,0)</f>
        <v>Arunachal Pradesh</v>
      </c>
      <c r="I10" s="7" t="str">
        <f>VLOOKUP(G10,'[1]Price Components'!B:D,3,0)</f>
        <v>EX-SHOWROOM</v>
      </c>
      <c r="J10" s="10">
        <f t="shared" si="1"/>
        <v>4.2501109026675435E-2</v>
      </c>
      <c r="K10" s="11">
        <v>144158</v>
      </c>
      <c r="L10" s="12">
        <f t="shared" si="2"/>
        <v>-323.72438052890357</v>
      </c>
      <c r="M10" s="11">
        <v>143834.2756194711</v>
      </c>
      <c r="N10" s="8">
        <v>1279</v>
      </c>
      <c r="O10" s="13">
        <f>VLOOKUP(G10,'[1]Price Components'!B:E,4,0)</f>
        <v>1060</v>
      </c>
      <c r="P10" s="13">
        <f t="shared" si="3"/>
        <v>146173</v>
      </c>
      <c r="Q10" s="14">
        <f>ROUND(IF(F10&lt;500,VLOOKUP(G10,'[1]Price Components'!B:G,5,0),VLOOKUP(G10,'[1]Price Components'!B:G,6,0)),2)</f>
        <v>1442</v>
      </c>
      <c r="R10" s="11">
        <f t="shared" si="4"/>
        <v>7952</v>
      </c>
      <c r="S10" s="13">
        <v>0</v>
      </c>
      <c r="T10" s="11">
        <f t="shared" si="5"/>
        <v>7952</v>
      </c>
      <c r="U10" s="11">
        <v>292</v>
      </c>
      <c r="V10" s="13">
        <f t="shared" si="6"/>
        <v>8244</v>
      </c>
      <c r="W10" s="13">
        <f t="shared" si="7"/>
        <v>187101</v>
      </c>
      <c r="X10" s="13">
        <f t="shared" si="8"/>
        <v>155859</v>
      </c>
      <c r="Y10" s="13">
        <f t="shared" si="9"/>
        <v>43641</v>
      </c>
      <c r="Z10" s="11">
        <v>0</v>
      </c>
      <c r="AA10" s="13">
        <f t="shared" si="19"/>
        <v>199500</v>
      </c>
      <c r="AB10" s="13" t="str">
        <f t="shared" si="11"/>
        <v>B</v>
      </c>
      <c r="AC10" s="15">
        <f>IF(AB10="A",VLOOKUP($G10,'[1]Price Components'!$B:$AC,7,0),IF(AB10="B",VLOOKUP($G10,'[1]Price Components'!$B:$AC,8,0),IF(AB10="C",VLOOKUP($G10,'[1]Price Components'!$B:$AC,9,0),IF(AB10="E",15%,IF(AB10="D",VLOOKUP($G10,'[1]Price Components'!$B:$AC,10,0))))))</f>
        <v>0</v>
      </c>
      <c r="AD10" s="13">
        <f>ROUND(IF(AC10=0,VLOOKUP($G10,'[1]Price Components'!$B:$AC,11,0),IF(I10="BASIC",X10*AC10,AA10*AC10)),0)</f>
        <v>3700</v>
      </c>
      <c r="AE10" s="13">
        <f>ROUND(VLOOKUP($G10,'[1]Price Components'!$B:$AC,12,0),0)</f>
        <v>1160</v>
      </c>
      <c r="AF10" s="16">
        <f>VLOOKUP($G10,'[1]Price Components'!$B:$AC,14,0)</f>
        <v>7.92E-3</v>
      </c>
      <c r="AG10" s="16">
        <f>VLOOKUP($G10,'[1]Price Components'!$B:$AC,15,0)</f>
        <v>8.2979999999999998E-3</v>
      </c>
      <c r="AH10" s="13">
        <f t="shared" si="12"/>
        <v>1501</v>
      </c>
      <c r="AI10" s="13">
        <f t="shared" si="13"/>
        <v>7740</v>
      </c>
      <c r="AJ10" s="13">
        <f t="shared" si="14"/>
        <v>1663</v>
      </c>
      <c r="AK10" s="13">
        <f t="shared" si="15"/>
        <v>10904</v>
      </c>
      <c r="AL10" s="13">
        <f t="shared" si="16"/>
        <v>215264</v>
      </c>
      <c r="AM10" s="17"/>
      <c r="AN10" s="18">
        <v>199500</v>
      </c>
      <c r="AO10" s="18">
        <f t="shared" si="17"/>
        <v>0</v>
      </c>
      <c r="AP10" s="18"/>
    </row>
    <row r="11" spans="1:42" ht="15.75" customHeight="1" x14ac:dyDescent="0.3">
      <c r="A11" s="7"/>
      <c r="B11" s="7"/>
      <c r="C11" s="7" t="str">
        <f t="shared" si="0"/>
        <v>VBFV60HG02</v>
      </c>
      <c r="D11" s="7" t="s">
        <v>40</v>
      </c>
      <c r="E11" s="7"/>
      <c r="F11" s="8">
        <v>350</v>
      </c>
      <c r="G11" s="9" t="s">
        <v>45</v>
      </c>
      <c r="H11" s="7" t="str">
        <f>VLOOKUP(G11,'[1]Price Components'!B:C,2,0)</f>
        <v>Arunachal Pradesh</v>
      </c>
      <c r="I11" s="7" t="str">
        <f>VLOOKUP(G11,'[1]Price Components'!B:D,3,0)</f>
        <v>EX-SHOWROOM</v>
      </c>
      <c r="J11" s="10">
        <f t="shared" si="1"/>
        <v>4.2498824267126506E-2</v>
      </c>
      <c r="K11" s="11">
        <v>147492</v>
      </c>
      <c r="L11" s="12">
        <f t="shared" si="2"/>
        <v>-323.14830150755006</v>
      </c>
      <c r="M11" s="11">
        <v>147168.85169849245</v>
      </c>
      <c r="N11" s="8">
        <v>1279</v>
      </c>
      <c r="O11" s="13">
        <f>VLOOKUP(G11,'[1]Price Components'!B:E,4,0)</f>
        <v>1060</v>
      </c>
      <c r="P11" s="13">
        <f t="shared" si="3"/>
        <v>149508</v>
      </c>
      <c r="Q11" s="14">
        <f>ROUND(IF(F11&lt;500,VLOOKUP(G11,'[1]Price Components'!B:G,5,0),VLOOKUP(G11,'[1]Price Components'!B:G,6,0)),2)</f>
        <v>1442</v>
      </c>
      <c r="R11" s="11">
        <f t="shared" si="4"/>
        <v>8133</v>
      </c>
      <c r="S11" s="13">
        <v>0</v>
      </c>
      <c r="T11" s="11">
        <f t="shared" si="5"/>
        <v>8133</v>
      </c>
      <c r="U11" s="11">
        <v>292</v>
      </c>
      <c r="V11" s="13">
        <f t="shared" si="6"/>
        <v>8425</v>
      </c>
      <c r="W11" s="13">
        <f t="shared" si="7"/>
        <v>191370</v>
      </c>
      <c r="X11" s="13">
        <f t="shared" si="8"/>
        <v>159375</v>
      </c>
      <c r="Y11" s="13">
        <f t="shared" si="9"/>
        <v>44625</v>
      </c>
      <c r="Z11" s="11">
        <v>0</v>
      </c>
      <c r="AA11" s="13">
        <f t="shared" si="19"/>
        <v>204000</v>
      </c>
      <c r="AB11" s="13" t="str">
        <f t="shared" si="11"/>
        <v>C</v>
      </c>
      <c r="AC11" s="15">
        <f>IF(AB11="A",VLOOKUP($G11,'[1]Price Components'!$B:$AC,7,0),IF(AB11="B",VLOOKUP($G11,'[1]Price Components'!$B:$AC,8,0),IF(AB11="C",VLOOKUP($G11,'[1]Price Components'!$B:$AC,9,0),IF(AB11="E",15%,IF(AB11="D",VLOOKUP($G11,'[1]Price Components'!$B:$AC,10,0))))))</f>
        <v>0</v>
      </c>
      <c r="AD11" s="13">
        <f>ROUND(IF(AC11=0,VLOOKUP($G11,'[1]Price Components'!$B:$AC,11,0),IF(I11="BASIC",X11*AC11,AA11*AC11)),0)</f>
        <v>3700</v>
      </c>
      <c r="AE11" s="13">
        <f>ROUND(VLOOKUP($G11,'[1]Price Components'!$B:$AC,12,0),0)</f>
        <v>1160</v>
      </c>
      <c r="AF11" s="16">
        <f>VLOOKUP($G11,'[1]Price Components'!$B:$AC,14,0)</f>
        <v>7.92E-3</v>
      </c>
      <c r="AG11" s="16">
        <f>VLOOKUP($G11,'[1]Price Components'!$B:$AC,15,0)</f>
        <v>8.2979999999999998E-3</v>
      </c>
      <c r="AH11" s="13">
        <f t="shared" si="12"/>
        <v>1535</v>
      </c>
      <c r="AI11" s="13">
        <f t="shared" si="13"/>
        <v>7740</v>
      </c>
      <c r="AJ11" s="13">
        <f t="shared" si="14"/>
        <v>1670</v>
      </c>
      <c r="AK11" s="13">
        <f t="shared" si="15"/>
        <v>10945</v>
      </c>
      <c r="AL11" s="13">
        <f t="shared" si="16"/>
        <v>219805</v>
      </c>
      <c r="AM11" s="17"/>
      <c r="AN11" s="18">
        <v>204000</v>
      </c>
      <c r="AO11" s="18">
        <f t="shared" si="17"/>
        <v>0</v>
      </c>
      <c r="AP11" s="18"/>
    </row>
    <row r="12" spans="1:42" ht="15.75" customHeight="1" x14ac:dyDescent="0.3">
      <c r="A12" s="7"/>
      <c r="B12" s="7"/>
      <c r="C12" s="7" t="str">
        <f t="shared" si="0"/>
        <v>VBFV60SE02</v>
      </c>
      <c r="D12" s="7" t="s">
        <v>41</v>
      </c>
      <c r="E12" s="7"/>
      <c r="F12" s="8">
        <v>350</v>
      </c>
      <c r="G12" s="9" t="s">
        <v>45</v>
      </c>
      <c r="H12" s="7" t="str">
        <f>VLOOKUP(G12,'[1]Price Components'!B:C,2,0)</f>
        <v>Arunachal Pradesh</v>
      </c>
      <c r="I12" s="7" t="str">
        <f>VLOOKUP(G12,'[1]Price Components'!B:D,3,0)</f>
        <v>EX-SHOWROOM</v>
      </c>
      <c r="J12" s="10">
        <f t="shared" si="1"/>
        <v>4.2500406903048564E-2</v>
      </c>
      <c r="K12" s="11">
        <v>156384</v>
      </c>
      <c r="L12" s="12">
        <f t="shared" si="2"/>
        <v>-324.31909090909176</v>
      </c>
      <c r="M12" s="11">
        <v>156059.68090909091</v>
      </c>
      <c r="N12" s="8">
        <v>1279</v>
      </c>
      <c r="O12" s="13">
        <f>VLOOKUP(G12,'[1]Price Components'!B:E,4,0)</f>
        <v>1060</v>
      </c>
      <c r="P12" s="13">
        <f t="shared" si="3"/>
        <v>158399</v>
      </c>
      <c r="Q12" s="14">
        <f>ROUND(IF(F12&lt;500,VLOOKUP(G12,'[1]Price Components'!B:G,5,0),VLOOKUP(G12,'[1]Price Components'!B:G,6,0)),2)</f>
        <v>1442</v>
      </c>
      <c r="R12" s="11">
        <f t="shared" si="4"/>
        <v>8617</v>
      </c>
      <c r="S12" s="13">
        <v>0</v>
      </c>
      <c r="T12" s="11">
        <f t="shared" si="5"/>
        <v>8617</v>
      </c>
      <c r="U12" s="11">
        <v>292</v>
      </c>
      <c r="V12" s="13">
        <f t="shared" si="6"/>
        <v>8909</v>
      </c>
      <c r="W12" s="13">
        <f t="shared" si="7"/>
        <v>202751</v>
      </c>
      <c r="X12" s="13">
        <f t="shared" si="8"/>
        <v>168750</v>
      </c>
      <c r="Y12" s="13">
        <f t="shared" si="9"/>
        <v>47250</v>
      </c>
      <c r="Z12" s="11">
        <v>0</v>
      </c>
      <c r="AA12" s="13">
        <f t="shared" si="19"/>
        <v>216000</v>
      </c>
      <c r="AB12" s="13" t="str">
        <f t="shared" si="11"/>
        <v>C</v>
      </c>
      <c r="AC12" s="15">
        <f>IF(AB12="A",VLOOKUP($G12,'[1]Price Components'!$B:$AC,7,0),IF(AB12="B",VLOOKUP($G12,'[1]Price Components'!$B:$AC,8,0),IF(AB12="C",VLOOKUP($G12,'[1]Price Components'!$B:$AC,9,0),IF(AB12="E",15%,IF(AB12="D",VLOOKUP($G12,'[1]Price Components'!$B:$AC,10,0))))))</f>
        <v>0</v>
      </c>
      <c r="AD12" s="13">
        <f>ROUND(IF(AC12=0,VLOOKUP($G12,'[1]Price Components'!$B:$AC,11,0),IF(I12="BASIC",X12*AC12,AA12*AC12)),0)</f>
        <v>3700</v>
      </c>
      <c r="AE12" s="13">
        <f>ROUND(VLOOKUP($G12,'[1]Price Components'!$B:$AC,12,0),0)</f>
        <v>1160</v>
      </c>
      <c r="AF12" s="16">
        <f>VLOOKUP($G12,'[1]Price Components'!$B:$AC,14,0)</f>
        <v>7.92E-3</v>
      </c>
      <c r="AG12" s="16">
        <f>VLOOKUP($G12,'[1]Price Components'!$B:$AC,15,0)</f>
        <v>8.2979999999999998E-3</v>
      </c>
      <c r="AH12" s="13">
        <f t="shared" si="12"/>
        <v>1625</v>
      </c>
      <c r="AI12" s="13">
        <f t="shared" si="13"/>
        <v>7740</v>
      </c>
      <c r="AJ12" s="13">
        <f t="shared" si="14"/>
        <v>1686</v>
      </c>
      <c r="AK12" s="13">
        <f t="shared" si="15"/>
        <v>11051</v>
      </c>
      <c r="AL12" s="13">
        <f t="shared" si="16"/>
        <v>231911</v>
      </c>
      <c r="AM12" s="17"/>
      <c r="AN12" s="18">
        <v>216000</v>
      </c>
      <c r="AO12" s="18">
        <f t="shared" si="17"/>
        <v>0</v>
      </c>
      <c r="AP12" s="18"/>
    </row>
    <row r="13" spans="1:42" ht="15.75" customHeight="1" x14ac:dyDescent="0.3">
      <c r="A13" s="7"/>
      <c r="B13" s="7"/>
      <c r="C13" s="7" t="str">
        <f t="shared" si="0"/>
        <v>VBFV60GM02</v>
      </c>
      <c r="D13" s="7" t="s">
        <v>42</v>
      </c>
      <c r="E13" s="7"/>
      <c r="F13" s="8">
        <v>350</v>
      </c>
      <c r="G13" s="9" t="s">
        <v>45</v>
      </c>
      <c r="H13" s="7" t="str">
        <f>VLOOKUP(G13,'[1]Price Components'!B:C,2,0)</f>
        <v>Arunachal Pradesh</v>
      </c>
      <c r="I13" s="7" t="str">
        <f>VLOOKUP(G13,'[1]Price Components'!B:D,3,0)</f>
        <v>EX-SHOWROOM</v>
      </c>
      <c r="J13" s="10">
        <f t="shared" si="1"/>
        <v>4.2501632857832511E-2</v>
      </c>
      <c r="K13" s="11">
        <v>163052</v>
      </c>
      <c r="L13" s="12">
        <f t="shared" si="2"/>
        <v>-323.88014372391626</v>
      </c>
      <c r="M13" s="11">
        <v>162728.11985627608</v>
      </c>
      <c r="N13" s="8">
        <v>1279</v>
      </c>
      <c r="O13" s="13">
        <f>VLOOKUP(G13,'[1]Price Components'!B:E,4,0)</f>
        <v>1060</v>
      </c>
      <c r="P13" s="13">
        <f t="shared" si="3"/>
        <v>165067</v>
      </c>
      <c r="Q13" s="14">
        <f>ROUND(IF(F13&lt;500,VLOOKUP(G13,'[1]Price Components'!B:G,5,0),VLOOKUP(G13,'[1]Price Components'!B:G,6,0)),2)</f>
        <v>1442</v>
      </c>
      <c r="R13" s="11">
        <f t="shared" si="4"/>
        <v>8980</v>
      </c>
      <c r="S13" s="13">
        <v>0</v>
      </c>
      <c r="T13" s="11">
        <f t="shared" si="5"/>
        <v>8980</v>
      </c>
      <c r="U13" s="11">
        <v>292</v>
      </c>
      <c r="V13" s="13">
        <f t="shared" si="6"/>
        <v>9272</v>
      </c>
      <c r="W13" s="13">
        <f t="shared" si="7"/>
        <v>211286</v>
      </c>
      <c r="X13" s="13">
        <f t="shared" si="8"/>
        <v>175781</v>
      </c>
      <c r="Y13" s="13">
        <f t="shared" si="9"/>
        <v>49219</v>
      </c>
      <c r="Z13" s="11">
        <v>0</v>
      </c>
      <c r="AA13" s="13">
        <f t="shared" si="19"/>
        <v>225000</v>
      </c>
      <c r="AB13" s="13" t="str">
        <f t="shared" si="11"/>
        <v>C</v>
      </c>
      <c r="AC13" s="15">
        <f>IF(AB13="A",VLOOKUP($G13,'[1]Price Components'!$B:$AC,7,0),IF(AB13="B",VLOOKUP($G13,'[1]Price Components'!$B:$AC,8,0),IF(AB13="C",VLOOKUP($G13,'[1]Price Components'!$B:$AC,9,0),IF(AB13="E",15%,IF(AB13="D",VLOOKUP($G13,'[1]Price Components'!$B:$AC,10,0))))))</f>
        <v>0</v>
      </c>
      <c r="AD13" s="13">
        <f>ROUND(IF(AC13=0,VLOOKUP($G13,'[1]Price Components'!$B:$AC,11,0),IF(I13="BASIC",X13*AC13,AA13*AC13)),0)</f>
        <v>3700</v>
      </c>
      <c r="AE13" s="13">
        <f>ROUND(VLOOKUP($G13,'[1]Price Components'!$B:$AC,12,0),0)</f>
        <v>1160</v>
      </c>
      <c r="AF13" s="16">
        <f>VLOOKUP($G13,'[1]Price Components'!$B:$AC,14,0)</f>
        <v>7.92E-3</v>
      </c>
      <c r="AG13" s="16">
        <f>VLOOKUP($G13,'[1]Price Components'!$B:$AC,15,0)</f>
        <v>8.2979999999999998E-3</v>
      </c>
      <c r="AH13" s="13">
        <f t="shared" si="12"/>
        <v>1693</v>
      </c>
      <c r="AI13" s="13">
        <f t="shared" si="13"/>
        <v>7740</v>
      </c>
      <c r="AJ13" s="13">
        <f t="shared" si="14"/>
        <v>1698</v>
      </c>
      <c r="AK13" s="13">
        <f t="shared" si="15"/>
        <v>11131</v>
      </c>
      <c r="AL13" s="13">
        <f t="shared" si="16"/>
        <v>240991</v>
      </c>
      <c r="AM13" s="17"/>
      <c r="AN13" s="18">
        <v>225000</v>
      </c>
      <c r="AO13" s="18">
        <f t="shared" si="17"/>
        <v>0</v>
      </c>
      <c r="AP13" s="18"/>
    </row>
    <row r="14" spans="1:42" ht="15.75" customHeight="1" x14ac:dyDescent="0.3">
      <c r="A14" s="7"/>
      <c r="B14" s="7"/>
      <c r="C14" s="7" t="str">
        <f t="shared" si="0"/>
        <v>VBFV60SB02</v>
      </c>
      <c r="D14" s="7" t="s">
        <v>43</v>
      </c>
      <c r="E14" s="7"/>
      <c r="F14" s="8">
        <v>350</v>
      </c>
      <c r="G14" s="9" t="s">
        <v>45</v>
      </c>
      <c r="H14" s="7" t="str">
        <f>VLOOKUP(G14,'[1]Price Components'!B:C,2,0)</f>
        <v>Arunachal Pradesh</v>
      </c>
      <c r="I14" s="7" t="str">
        <f>VLOOKUP(G14,'[1]Price Components'!B:D,3,0)</f>
        <v>EX-SHOWROOM</v>
      </c>
      <c r="J14" s="10">
        <f t="shared" si="1"/>
        <v>4.2501632857832511E-2</v>
      </c>
      <c r="K14" s="11">
        <v>163052</v>
      </c>
      <c r="L14" s="12">
        <f t="shared" si="2"/>
        <v>-323.88014372391626</v>
      </c>
      <c r="M14" s="11">
        <v>162728.11985627608</v>
      </c>
      <c r="N14" s="8">
        <v>1279</v>
      </c>
      <c r="O14" s="13">
        <f>VLOOKUP(G14,'[1]Price Components'!B:E,4,0)</f>
        <v>1060</v>
      </c>
      <c r="P14" s="13">
        <f t="shared" si="3"/>
        <v>165067</v>
      </c>
      <c r="Q14" s="14">
        <f>ROUND(IF(F14&lt;500,VLOOKUP(G14,'[1]Price Components'!B:G,5,0),VLOOKUP(G14,'[1]Price Components'!B:G,6,0)),2)</f>
        <v>1442</v>
      </c>
      <c r="R14" s="11">
        <f t="shared" si="4"/>
        <v>8980</v>
      </c>
      <c r="S14" s="13">
        <v>0</v>
      </c>
      <c r="T14" s="11">
        <f t="shared" si="5"/>
        <v>8980</v>
      </c>
      <c r="U14" s="11">
        <v>292</v>
      </c>
      <c r="V14" s="13">
        <f t="shared" si="6"/>
        <v>9272</v>
      </c>
      <c r="W14" s="13">
        <f t="shared" si="7"/>
        <v>211286</v>
      </c>
      <c r="X14" s="13">
        <f t="shared" si="8"/>
        <v>175781</v>
      </c>
      <c r="Y14" s="13">
        <f t="shared" si="9"/>
        <v>49219</v>
      </c>
      <c r="Z14" s="11">
        <v>0</v>
      </c>
      <c r="AA14" s="13">
        <f t="shared" si="19"/>
        <v>225000</v>
      </c>
      <c r="AB14" s="13" t="str">
        <f t="shared" si="11"/>
        <v>C</v>
      </c>
      <c r="AC14" s="15">
        <f>IF(AB14="A",VLOOKUP($G14,'[1]Price Components'!$B:$AC,7,0),IF(AB14="B",VLOOKUP($G14,'[1]Price Components'!$B:$AC,8,0),IF(AB14="C",VLOOKUP($G14,'[1]Price Components'!$B:$AC,9,0),IF(AB14="E",15%,IF(AB14="D",VLOOKUP($G14,'[1]Price Components'!$B:$AC,10,0))))))</f>
        <v>0</v>
      </c>
      <c r="AD14" s="13">
        <f>ROUND(IF(AC14=0,VLOOKUP($G14,'[1]Price Components'!$B:$AC,11,0),IF(I14="BASIC",X14*AC14,AA14*AC14)),0)</f>
        <v>3700</v>
      </c>
      <c r="AE14" s="13">
        <f>ROUND(VLOOKUP($G14,'[1]Price Components'!$B:$AC,12,0),0)</f>
        <v>1160</v>
      </c>
      <c r="AF14" s="16">
        <f>VLOOKUP($G14,'[1]Price Components'!$B:$AC,14,0)</f>
        <v>7.92E-3</v>
      </c>
      <c r="AG14" s="16">
        <f>VLOOKUP($G14,'[1]Price Components'!$B:$AC,15,0)</f>
        <v>8.2979999999999998E-3</v>
      </c>
      <c r="AH14" s="13">
        <f t="shared" si="12"/>
        <v>1693</v>
      </c>
      <c r="AI14" s="13">
        <f t="shared" si="13"/>
        <v>7740</v>
      </c>
      <c r="AJ14" s="13">
        <f t="shared" si="14"/>
        <v>1698</v>
      </c>
      <c r="AK14" s="13">
        <f t="shared" si="15"/>
        <v>11131</v>
      </c>
      <c r="AL14" s="13">
        <f t="shared" si="16"/>
        <v>240991</v>
      </c>
      <c r="AM14" s="17"/>
      <c r="AN14" s="18">
        <v>225000</v>
      </c>
      <c r="AO14" s="18">
        <f t="shared" si="17"/>
        <v>0</v>
      </c>
      <c r="AP14" s="18"/>
    </row>
    <row r="15" spans="1:42" ht="15.75" customHeight="1" x14ac:dyDescent="0.3">
      <c r="A15" s="7"/>
      <c r="B15" s="7"/>
      <c r="C15" s="7" t="str">
        <f t="shared" si="0"/>
        <v>VBFV60DN02</v>
      </c>
      <c r="D15" s="7" t="s">
        <v>44</v>
      </c>
      <c r="E15" s="7"/>
      <c r="F15" s="8">
        <v>350</v>
      </c>
      <c r="G15" s="9" t="s">
        <v>45</v>
      </c>
      <c r="H15" s="7" t="str">
        <f>VLOOKUP(G15,'[1]Price Components'!B:C,2,0)</f>
        <v>Arunachal Pradesh</v>
      </c>
      <c r="I15" s="7" t="str">
        <f>VLOOKUP(G15,'[1]Price Components'!B:D,3,0)</f>
        <v>EX-SHOWROOM</v>
      </c>
      <c r="J15" s="10">
        <f t="shared" si="1"/>
        <v>4.2499120484381654E-2</v>
      </c>
      <c r="K15" s="11">
        <v>166757</v>
      </c>
      <c r="L15" s="12">
        <f t="shared" si="2"/>
        <v>-323.73580994238728</v>
      </c>
      <c r="M15" s="11">
        <v>166433.26419005761</v>
      </c>
      <c r="N15" s="8">
        <v>1279</v>
      </c>
      <c r="O15" s="13">
        <f>VLOOKUP(G15,'[1]Price Components'!B:E,4,0)</f>
        <v>1060</v>
      </c>
      <c r="P15" s="13">
        <f t="shared" si="3"/>
        <v>168772</v>
      </c>
      <c r="Q15" s="14">
        <f>ROUND(IF(F15&lt;500,VLOOKUP(G15,'[1]Price Components'!B:G,5,0),VLOOKUP(G15,'[1]Price Components'!B:G,6,0)),2)</f>
        <v>1442</v>
      </c>
      <c r="R15" s="11">
        <f t="shared" si="4"/>
        <v>9181</v>
      </c>
      <c r="S15" s="13">
        <v>0</v>
      </c>
      <c r="T15" s="11">
        <f t="shared" si="5"/>
        <v>9181</v>
      </c>
      <c r="U15" s="11">
        <v>292</v>
      </c>
      <c r="V15" s="13">
        <f t="shared" si="6"/>
        <v>9473</v>
      </c>
      <c r="W15" s="13">
        <f t="shared" si="7"/>
        <v>216028</v>
      </c>
      <c r="X15" s="13">
        <f t="shared" si="8"/>
        <v>179687</v>
      </c>
      <c r="Y15" s="13">
        <f t="shared" si="9"/>
        <v>50312</v>
      </c>
      <c r="Z15" s="11">
        <v>0</v>
      </c>
      <c r="AA15" s="13">
        <f>ROUND(X15+Y15+Z15,0)+1</f>
        <v>230000</v>
      </c>
      <c r="AB15" s="13" t="str">
        <f t="shared" si="11"/>
        <v>C</v>
      </c>
      <c r="AC15" s="15">
        <f>IF(AB15="A",VLOOKUP($G15,'[1]Price Components'!$B:$AC,7,0),IF(AB15="B",VLOOKUP($G15,'[1]Price Components'!$B:$AC,8,0),IF(AB15="C",VLOOKUP($G15,'[1]Price Components'!$B:$AC,9,0),IF(AB15="E",15%,IF(AB15="D",VLOOKUP($G15,'[1]Price Components'!$B:$AC,10,0))))))</f>
        <v>0</v>
      </c>
      <c r="AD15" s="13">
        <f>ROUND(IF(AC15=0,VLOOKUP($G15,'[1]Price Components'!$B:$AC,11,0),IF(I15="BASIC",X15*AC15,AA15*AC15)),0)</f>
        <v>3700</v>
      </c>
      <c r="AE15" s="13">
        <f>ROUND(VLOOKUP($G15,'[1]Price Components'!$B:$AC,12,0),0)</f>
        <v>1160</v>
      </c>
      <c r="AF15" s="16">
        <f>VLOOKUP($G15,'[1]Price Components'!$B:$AC,14,0)</f>
        <v>7.92E-3</v>
      </c>
      <c r="AG15" s="16">
        <f>VLOOKUP($G15,'[1]Price Components'!$B:$AC,15,0)</f>
        <v>8.2979999999999998E-3</v>
      </c>
      <c r="AH15" s="13">
        <f t="shared" si="12"/>
        <v>1731</v>
      </c>
      <c r="AI15" s="13">
        <f t="shared" si="13"/>
        <v>7740</v>
      </c>
      <c r="AJ15" s="13">
        <f t="shared" si="14"/>
        <v>1705</v>
      </c>
      <c r="AK15" s="13">
        <f t="shared" si="15"/>
        <v>11176</v>
      </c>
      <c r="AL15" s="13">
        <f t="shared" si="16"/>
        <v>246036</v>
      </c>
      <c r="AM15" s="17"/>
      <c r="AN15" s="18">
        <v>230000</v>
      </c>
      <c r="AO15" s="18">
        <f t="shared" si="17"/>
        <v>0</v>
      </c>
      <c r="AP15" s="18"/>
    </row>
    <row r="16" spans="1:42" ht="15.75" customHeight="1" x14ac:dyDescent="0.3">
      <c r="A16" s="7"/>
      <c r="B16" s="7"/>
      <c r="C16" s="7" t="str">
        <f t="shared" si="0"/>
        <v>VBFV60RR03</v>
      </c>
      <c r="D16" s="7" t="s">
        <v>37</v>
      </c>
      <c r="E16" s="7"/>
      <c r="F16" s="8">
        <v>350</v>
      </c>
      <c r="G16" s="9" t="s">
        <v>46</v>
      </c>
      <c r="H16" s="7" t="str">
        <f>VLOOKUP(G16,'[1]Price Components'!B:C,2,0)</f>
        <v>Assam</v>
      </c>
      <c r="I16" s="7" t="str">
        <f>VLOOKUP(G16,'[1]Price Components'!B:D,3,0)</f>
        <v>EX-SHOWROOM</v>
      </c>
      <c r="J16" s="10">
        <f t="shared" si="1"/>
        <v>4.2497609342529129E-2</v>
      </c>
      <c r="K16" s="11">
        <v>144158</v>
      </c>
      <c r="L16" s="12">
        <f t="shared" si="2"/>
        <v>-866.93967318499926</v>
      </c>
      <c r="M16" s="11">
        <v>143291.060326815</v>
      </c>
      <c r="N16" s="8">
        <v>1279</v>
      </c>
      <c r="O16" s="13">
        <f>VLOOKUP(G16,'[1]Price Components'!B:E,4,0)</f>
        <v>1670</v>
      </c>
      <c r="P16" s="13">
        <f t="shared" si="3"/>
        <v>146240</v>
      </c>
      <c r="Q16" s="14">
        <f>ROUND(IF(F16&lt;500,VLOOKUP(G16,'[1]Price Components'!B:G,5,0),VLOOKUP(G16,'[1]Price Components'!B:G,6,0)),2)</f>
        <v>1372</v>
      </c>
      <c r="R16" s="11">
        <f t="shared" si="4"/>
        <v>7955</v>
      </c>
      <c r="S16" s="13">
        <v>0</v>
      </c>
      <c r="T16" s="11">
        <f t="shared" si="5"/>
        <v>7955</v>
      </c>
      <c r="U16" s="11">
        <v>292</v>
      </c>
      <c r="V16" s="13">
        <f t="shared" si="6"/>
        <v>8247</v>
      </c>
      <c r="W16" s="13">
        <f t="shared" si="7"/>
        <v>187187</v>
      </c>
      <c r="X16" s="13">
        <f t="shared" si="8"/>
        <v>155859</v>
      </c>
      <c r="Y16" s="13">
        <f t="shared" si="9"/>
        <v>43641</v>
      </c>
      <c r="Z16" s="11">
        <v>0</v>
      </c>
      <c r="AA16" s="13">
        <f t="shared" ref="AA16:AA17" si="20">ROUND(X16+Y16+Z16,0)</f>
        <v>199500</v>
      </c>
      <c r="AB16" s="13" t="str">
        <f t="shared" si="11"/>
        <v>B</v>
      </c>
      <c r="AC16" s="15">
        <f>IF(AB16="A",VLOOKUP($G16,'[1]Price Components'!$B:$AC,7,0),IF(AB16="B",VLOOKUP($G16,'[1]Price Components'!$B:$AC,8,0),IF(AB16="C",VLOOKUP($G16,'[1]Price Components'!$B:$AC,9,0),IF(AB16="E",15%,IF(AB16="D",VLOOKUP($G16,'[1]Price Components'!$B:$AC,10,0))))))</f>
        <v>0.08</v>
      </c>
      <c r="AD16" s="13">
        <f>ROUND(IF(AC16=0,VLOOKUP($G16,'[1]Price Components'!$B:$AC,11,0),IF(I16="BASIC",X16*AC16,AA16*AC16)),0)</f>
        <v>15960</v>
      </c>
      <c r="AE16" s="13">
        <f t="shared" ref="AE16:AE22" si="21">ROUND(AD16*1%,0)+750</f>
        <v>910</v>
      </c>
      <c r="AF16" s="16">
        <f>VLOOKUP($G16,'[1]Price Components'!$B:$AC,14,0)</f>
        <v>7.92E-3</v>
      </c>
      <c r="AG16" s="16">
        <f>VLOOKUP($G16,'[1]Price Components'!$B:$AC,15,0)</f>
        <v>8.2979999999999998E-3</v>
      </c>
      <c r="AH16" s="13">
        <f t="shared" si="12"/>
        <v>1501</v>
      </c>
      <c r="AI16" s="13">
        <f t="shared" si="13"/>
        <v>7740</v>
      </c>
      <c r="AJ16" s="13">
        <f t="shared" si="14"/>
        <v>1663</v>
      </c>
      <c r="AK16" s="13">
        <f t="shared" si="15"/>
        <v>10904</v>
      </c>
      <c r="AL16" s="13">
        <f t="shared" si="16"/>
        <v>227274</v>
      </c>
      <c r="AM16" s="17"/>
      <c r="AN16" s="18">
        <f>199500</f>
        <v>199500</v>
      </c>
      <c r="AO16" s="18">
        <f t="shared" si="17"/>
        <v>0</v>
      </c>
      <c r="AP16" s="18"/>
    </row>
    <row r="17" spans="1:42" ht="15.75" customHeight="1" x14ac:dyDescent="0.3">
      <c r="A17" s="7"/>
      <c r="B17" s="7"/>
      <c r="C17" s="7" t="str">
        <f t="shared" si="0"/>
        <v>VBFV60EB03</v>
      </c>
      <c r="D17" s="7" t="s">
        <v>39</v>
      </c>
      <c r="E17" s="7"/>
      <c r="F17" s="8">
        <v>350</v>
      </c>
      <c r="G17" s="9" t="s">
        <v>46</v>
      </c>
      <c r="H17" s="7" t="str">
        <f>VLOOKUP(G17,'[1]Price Components'!B:C,2,0)</f>
        <v>Assam</v>
      </c>
      <c r="I17" s="7" t="str">
        <f>VLOOKUP(G17,'[1]Price Components'!B:D,3,0)</f>
        <v>EX-SHOWROOM</v>
      </c>
      <c r="J17" s="10">
        <f t="shared" si="1"/>
        <v>4.2497609342529129E-2</v>
      </c>
      <c r="K17" s="11">
        <v>144158</v>
      </c>
      <c r="L17" s="12">
        <f t="shared" si="2"/>
        <v>-866.83203125</v>
      </c>
      <c r="M17" s="11">
        <v>143291.16796875</v>
      </c>
      <c r="N17" s="8">
        <v>1279</v>
      </c>
      <c r="O17" s="13">
        <f>VLOOKUP(G17,'[1]Price Components'!B:E,4,0)</f>
        <v>1670</v>
      </c>
      <c r="P17" s="13">
        <f t="shared" si="3"/>
        <v>146240</v>
      </c>
      <c r="Q17" s="14">
        <f>ROUND(IF(F17&lt;500,VLOOKUP(G17,'[1]Price Components'!B:G,5,0),VLOOKUP(G17,'[1]Price Components'!B:G,6,0)),2)</f>
        <v>1372</v>
      </c>
      <c r="R17" s="11">
        <f t="shared" si="4"/>
        <v>7955</v>
      </c>
      <c r="S17" s="13">
        <v>0</v>
      </c>
      <c r="T17" s="11">
        <f t="shared" si="5"/>
        <v>7955</v>
      </c>
      <c r="U17" s="11">
        <v>292</v>
      </c>
      <c r="V17" s="13">
        <f t="shared" si="6"/>
        <v>8247</v>
      </c>
      <c r="W17" s="13">
        <f t="shared" si="7"/>
        <v>187187</v>
      </c>
      <c r="X17" s="13">
        <f t="shared" si="8"/>
        <v>155859</v>
      </c>
      <c r="Y17" s="13">
        <f t="shared" si="9"/>
        <v>43641</v>
      </c>
      <c r="Z17" s="11">
        <v>0</v>
      </c>
      <c r="AA17" s="13">
        <f t="shared" si="20"/>
        <v>199500</v>
      </c>
      <c r="AB17" s="13" t="str">
        <f t="shared" si="11"/>
        <v>B</v>
      </c>
      <c r="AC17" s="15">
        <f>IF(AB17="A",VLOOKUP($G17,'[1]Price Components'!$B:$AC,7,0),IF(AB17="B",VLOOKUP($G17,'[1]Price Components'!$B:$AC,8,0),IF(AB17="C",VLOOKUP($G17,'[1]Price Components'!$B:$AC,9,0),IF(AB17="E",15%,IF(AB17="D",VLOOKUP($G17,'[1]Price Components'!$B:$AC,10,0))))))</f>
        <v>0.08</v>
      </c>
      <c r="AD17" s="13">
        <f>ROUND(IF(AC17=0,VLOOKUP($G17,'[1]Price Components'!$B:$AC,11,0),IF(I17="BASIC",X17*AC17,AA17*AC17)),0)</f>
        <v>15960</v>
      </c>
      <c r="AE17" s="13">
        <f t="shared" si="21"/>
        <v>910</v>
      </c>
      <c r="AF17" s="16">
        <f>VLOOKUP($G17,'[1]Price Components'!$B:$AC,14,0)</f>
        <v>7.92E-3</v>
      </c>
      <c r="AG17" s="16">
        <f>VLOOKUP($G17,'[1]Price Components'!$B:$AC,15,0)</f>
        <v>8.2979999999999998E-3</v>
      </c>
      <c r="AH17" s="13">
        <f t="shared" si="12"/>
        <v>1501</v>
      </c>
      <c r="AI17" s="13">
        <f t="shared" si="13"/>
        <v>7740</v>
      </c>
      <c r="AJ17" s="13">
        <f t="shared" si="14"/>
        <v>1663</v>
      </c>
      <c r="AK17" s="13">
        <f t="shared" si="15"/>
        <v>10904</v>
      </c>
      <c r="AL17" s="13">
        <f t="shared" si="16"/>
        <v>227274</v>
      </c>
      <c r="AM17" s="17"/>
      <c r="AN17" s="18">
        <v>199500</v>
      </c>
      <c r="AO17" s="18">
        <f t="shared" si="17"/>
        <v>0</v>
      </c>
      <c r="AP17" s="18"/>
    </row>
    <row r="18" spans="1:42" ht="15.75" customHeight="1" x14ac:dyDescent="0.3">
      <c r="A18" s="7"/>
      <c r="B18" s="7"/>
      <c r="C18" s="7" t="str">
        <f t="shared" si="0"/>
        <v>VBFV60SE03</v>
      </c>
      <c r="D18" s="7" t="s">
        <v>41</v>
      </c>
      <c r="E18" s="7"/>
      <c r="F18" s="8">
        <v>350</v>
      </c>
      <c r="G18" s="9" t="s">
        <v>46</v>
      </c>
      <c r="H18" s="7" t="str">
        <f>VLOOKUP(G18,'[1]Price Components'!B:C,2,0)</f>
        <v>Assam</v>
      </c>
      <c r="I18" s="7" t="str">
        <f>VLOOKUP(G18,'[1]Price Components'!B:D,3,0)</f>
        <v>EX-SHOWROOM</v>
      </c>
      <c r="J18" s="10">
        <f t="shared" si="1"/>
        <v>4.2502317142913484E-2</v>
      </c>
      <c r="K18" s="11">
        <v>156384</v>
      </c>
      <c r="L18" s="12">
        <f t="shared" si="2"/>
        <v>-867.44410612093634</v>
      </c>
      <c r="M18" s="11">
        <v>155516.55589387906</v>
      </c>
      <c r="N18" s="8">
        <v>1279</v>
      </c>
      <c r="O18" s="13">
        <f>VLOOKUP(G18,'[1]Price Components'!B:E,4,0)</f>
        <v>1670</v>
      </c>
      <c r="P18" s="13">
        <f t="shared" si="3"/>
        <v>158466</v>
      </c>
      <c r="Q18" s="14">
        <f>ROUND(IF(F18&lt;500,VLOOKUP(G18,'[1]Price Components'!B:G,5,0),VLOOKUP(G18,'[1]Price Components'!B:G,6,0)),2)</f>
        <v>1372</v>
      </c>
      <c r="R18" s="11">
        <f t="shared" si="4"/>
        <v>8621</v>
      </c>
      <c r="S18" s="13">
        <v>0</v>
      </c>
      <c r="T18" s="11">
        <f t="shared" si="5"/>
        <v>8621</v>
      </c>
      <c r="U18" s="11">
        <v>292</v>
      </c>
      <c r="V18" s="13">
        <f t="shared" si="6"/>
        <v>8913</v>
      </c>
      <c r="W18" s="13">
        <f t="shared" si="7"/>
        <v>202836</v>
      </c>
      <c r="X18" s="13">
        <f t="shared" si="8"/>
        <v>168751</v>
      </c>
      <c r="Y18" s="13">
        <f t="shared" si="9"/>
        <v>47250</v>
      </c>
      <c r="Z18" s="11">
        <v>0</v>
      </c>
      <c r="AA18" s="13">
        <f>ROUND(X18+Y18+Z18,0)-1</f>
        <v>216000</v>
      </c>
      <c r="AB18" s="13" t="str">
        <f t="shared" si="11"/>
        <v>C</v>
      </c>
      <c r="AC18" s="15">
        <f>IF(AB18="A",VLOOKUP($G18,'[1]Price Components'!$B:$AC,7,0),IF(AB18="B",VLOOKUP($G18,'[1]Price Components'!$B:$AC,8,0),IF(AB18="C",VLOOKUP($G18,'[1]Price Components'!$B:$AC,9,0),IF(AB18="E",15%,IF(AB18="D",VLOOKUP($G18,'[1]Price Components'!$B:$AC,10,0))))))</f>
        <v>0.08</v>
      </c>
      <c r="AD18" s="13">
        <f>ROUND(IF(AC18=0,VLOOKUP($G18,'[1]Price Components'!$B:$AC,11,0),IF(I18="BASIC",X18*AC18,AA18*AC18)),0)</f>
        <v>17280</v>
      </c>
      <c r="AE18" s="13">
        <f t="shared" si="21"/>
        <v>923</v>
      </c>
      <c r="AF18" s="16">
        <f>VLOOKUP($G18,'[1]Price Components'!$B:$AC,14,0)</f>
        <v>7.92E-3</v>
      </c>
      <c r="AG18" s="16">
        <f>VLOOKUP($G18,'[1]Price Components'!$B:$AC,15,0)</f>
        <v>8.2979999999999998E-3</v>
      </c>
      <c r="AH18" s="13">
        <f t="shared" si="12"/>
        <v>1625</v>
      </c>
      <c r="AI18" s="13">
        <f t="shared" si="13"/>
        <v>7740</v>
      </c>
      <c r="AJ18" s="13">
        <f t="shared" si="14"/>
        <v>1686</v>
      </c>
      <c r="AK18" s="13">
        <f t="shared" si="15"/>
        <v>11051</v>
      </c>
      <c r="AL18" s="13">
        <f t="shared" si="16"/>
        <v>245254</v>
      </c>
      <c r="AM18" s="17"/>
      <c r="AN18" s="18">
        <v>216000</v>
      </c>
      <c r="AO18" s="18">
        <f t="shared" si="17"/>
        <v>0</v>
      </c>
      <c r="AP18" s="18"/>
    </row>
    <row r="19" spans="1:42" ht="15.75" customHeight="1" x14ac:dyDescent="0.3">
      <c r="A19" s="7"/>
      <c r="B19" s="7"/>
      <c r="C19" s="7" t="str">
        <f t="shared" si="0"/>
        <v>VBFV60HG03</v>
      </c>
      <c r="D19" s="7" t="s">
        <v>40</v>
      </c>
      <c r="E19" s="7"/>
      <c r="F19" s="8">
        <v>350</v>
      </c>
      <c r="G19" s="9" t="s">
        <v>46</v>
      </c>
      <c r="H19" s="7" t="str">
        <f>VLOOKUP(G19,'[1]Price Components'!B:C,2,0)</f>
        <v>Assam</v>
      </c>
      <c r="I19" s="7" t="str">
        <f>VLOOKUP(G19,'[1]Price Components'!B:D,3,0)</f>
        <v>EX-SHOWROOM</v>
      </c>
      <c r="J19" s="10">
        <f t="shared" si="1"/>
        <v>4.250084876341699E-2</v>
      </c>
      <c r="K19" s="11">
        <v>147492</v>
      </c>
      <c r="L19" s="12">
        <f t="shared" si="2"/>
        <v>-867.16402010052116</v>
      </c>
      <c r="M19" s="11">
        <v>146624.83597989948</v>
      </c>
      <c r="N19" s="8">
        <v>1279</v>
      </c>
      <c r="O19" s="13">
        <f>VLOOKUP(G19,'[1]Price Components'!B:E,4,0)</f>
        <v>1670</v>
      </c>
      <c r="P19" s="13">
        <f t="shared" si="3"/>
        <v>149574</v>
      </c>
      <c r="Q19" s="14">
        <f>ROUND(IF(F19&lt;500,VLOOKUP(G19,'[1]Price Components'!B:G,5,0),VLOOKUP(G19,'[1]Price Components'!B:G,6,0)),2)</f>
        <v>1372</v>
      </c>
      <c r="R19" s="11">
        <f t="shared" si="4"/>
        <v>8137</v>
      </c>
      <c r="S19" s="13">
        <v>0</v>
      </c>
      <c r="T19" s="11">
        <f t="shared" si="5"/>
        <v>8137</v>
      </c>
      <c r="U19" s="11">
        <v>292</v>
      </c>
      <c r="V19" s="13">
        <f t="shared" si="6"/>
        <v>8429</v>
      </c>
      <c r="W19" s="13">
        <f t="shared" si="7"/>
        <v>191455</v>
      </c>
      <c r="X19" s="13">
        <f t="shared" si="8"/>
        <v>159375</v>
      </c>
      <c r="Y19" s="13">
        <f t="shared" si="9"/>
        <v>44625</v>
      </c>
      <c r="Z19" s="11">
        <v>0</v>
      </c>
      <c r="AA19" s="13">
        <f t="shared" ref="AA19:AA21" si="22">ROUND(X19+Y19+Z19,0)</f>
        <v>204000</v>
      </c>
      <c r="AB19" s="13" t="str">
        <f t="shared" si="11"/>
        <v>C</v>
      </c>
      <c r="AC19" s="15">
        <f>IF(AB19="A",VLOOKUP($G19,'[1]Price Components'!$B:$AC,7,0),IF(AB19="B",VLOOKUP($G19,'[1]Price Components'!$B:$AC,8,0),IF(AB19="C",VLOOKUP($G19,'[1]Price Components'!$B:$AC,9,0),IF(AB19="E",15%,IF(AB19="D",VLOOKUP($G19,'[1]Price Components'!$B:$AC,10,0))))))</f>
        <v>0.08</v>
      </c>
      <c r="AD19" s="13">
        <f>ROUND(IF(AC19=0,VLOOKUP($G19,'[1]Price Components'!$B:$AC,11,0),IF(I19="BASIC",X19*AC19,AA19*AC19)),0)</f>
        <v>16320</v>
      </c>
      <c r="AE19" s="13">
        <f t="shared" si="21"/>
        <v>913</v>
      </c>
      <c r="AF19" s="16">
        <f>VLOOKUP($G19,'[1]Price Components'!$B:$AC,14,0)</f>
        <v>7.92E-3</v>
      </c>
      <c r="AG19" s="16">
        <f>VLOOKUP($G19,'[1]Price Components'!$B:$AC,15,0)</f>
        <v>8.2979999999999998E-3</v>
      </c>
      <c r="AH19" s="13">
        <f t="shared" si="12"/>
        <v>1535</v>
      </c>
      <c r="AI19" s="13">
        <f t="shared" si="13"/>
        <v>7740</v>
      </c>
      <c r="AJ19" s="13">
        <f t="shared" si="14"/>
        <v>1670</v>
      </c>
      <c r="AK19" s="13">
        <f t="shared" si="15"/>
        <v>10945</v>
      </c>
      <c r="AL19" s="13">
        <f t="shared" si="16"/>
        <v>232178</v>
      </c>
      <c r="AM19" s="17"/>
      <c r="AN19" s="18">
        <v>204000</v>
      </c>
      <c r="AO19" s="18">
        <f t="shared" si="17"/>
        <v>0</v>
      </c>
      <c r="AP19" s="18"/>
    </row>
    <row r="20" spans="1:42" ht="15.75" customHeight="1" x14ac:dyDescent="0.3">
      <c r="A20" s="7"/>
      <c r="B20" s="7"/>
      <c r="C20" s="7" t="str">
        <f t="shared" si="0"/>
        <v>VBFV60GM03</v>
      </c>
      <c r="D20" s="7" t="s">
        <v>42</v>
      </c>
      <c r="E20" s="7"/>
      <c r="F20" s="8">
        <v>350</v>
      </c>
      <c r="G20" s="9" t="s">
        <v>46</v>
      </c>
      <c r="H20" s="7" t="str">
        <f>VLOOKUP(G20,'[1]Price Components'!B:C,2,0)</f>
        <v>Assam</v>
      </c>
      <c r="I20" s="7" t="str">
        <f>VLOOKUP(G20,'[1]Price Components'!B:D,3,0)</f>
        <v>EX-SHOWROOM</v>
      </c>
      <c r="J20" s="10">
        <f t="shared" si="1"/>
        <v>4.2498533391366881E-2</v>
      </c>
      <c r="K20" s="11">
        <v>163052</v>
      </c>
      <c r="L20" s="12">
        <f t="shared" si="2"/>
        <v>-866.74620626986143</v>
      </c>
      <c r="M20" s="11">
        <v>162185.25379373014</v>
      </c>
      <c r="N20" s="8">
        <v>1279</v>
      </c>
      <c r="O20" s="13">
        <f>VLOOKUP(G20,'[1]Price Components'!B:E,4,0)</f>
        <v>1670</v>
      </c>
      <c r="P20" s="13">
        <f t="shared" si="3"/>
        <v>165134</v>
      </c>
      <c r="Q20" s="14">
        <f>ROUND(IF(F20&lt;500,VLOOKUP(G20,'[1]Price Components'!B:G,5,0),VLOOKUP(G20,'[1]Price Components'!B:G,6,0)),2)</f>
        <v>1372</v>
      </c>
      <c r="R20" s="11">
        <f t="shared" si="4"/>
        <v>8983</v>
      </c>
      <c r="S20" s="13">
        <v>0</v>
      </c>
      <c r="T20" s="11">
        <f t="shared" si="5"/>
        <v>8983</v>
      </c>
      <c r="U20" s="11">
        <v>292</v>
      </c>
      <c r="V20" s="13">
        <f t="shared" si="6"/>
        <v>9275</v>
      </c>
      <c r="W20" s="13">
        <f t="shared" si="7"/>
        <v>211372</v>
      </c>
      <c r="X20" s="13">
        <f t="shared" si="8"/>
        <v>175781</v>
      </c>
      <c r="Y20" s="13">
        <f t="shared" si="9"/>
        <v>49219</v>
      </c>
      <c r="Z20" s="11">
        <v>0</v>
      </c>
      <c r="AA20" s="13">
        <f t="shared" si="22"/>
        <v>225000</v>
      </c>
      <c r="AB20" s="13" t="str">
        <f t="shared" si="11"/>
        <v>C</v>
      </c>
      <c r="AC20" s="15">
        <f>IF(AB20="A",VLOOKUP($G20,'[1]Price Components'!$B:$AC,7,0),IF(AB20="B",VLOOKUP($G20,'[1]Price Components'!$B:$AC,8,0),IF(AB20="C",VLOOKUP($G20,'[1]Price Components'!$B:$AC,9,0),IF(AB20="E",15%,IF(AB20="D",VLOOKUP($G20,'[1]Price Components'!$B:$AC,10,0))))))</f>
        <v>0.08</v>
      </c>
      <c r="AD20" s="13">
        <f>ROUND(IF(AC20=0,VLOOKUP($G20,'[1]Price Components'!$B:$AC,11,0),IF(I20="BASIC",X20*AC20,AA20*AC20)),0)</f>
        <v>18000</v>
      </c>
      <c r="AE20" s="13">
        <f t="shared" si="21"/>
        <v>930</v>
      </c>
      <c r="AF20" s="16">
        <f>VLOOKUP($G20,'[1]Price Components'!$B:$AC,14,0)</f>
        <v>7.92E-3</v>
      </c>
      <c r="AG20" s="16">
        <f>VLOOKUP($G20,'[1]Price Components'!$B:$AC,15,0)</f>
        <v>8.2979999999999998E-3</v>
      </c>
      <c r="AH20" s="13">
        <f t="shared" si="12"/>
        <v>1693</v>
      </c>
      <c r="AI20" s="13">
        <f t="shared" si="13"/>
        <v>7740</v>
      </c>
      <c r="AJ20" s="13">
        <f t="shared" si="14"/>
        <v>1698</v>
      </c>
      <c r="AK20" s="13">
        <f t="shared" si="15"/>
        <v>11131</v>
      </c>
      <c r="AL20" s="13">
        <f t="shared" si="16"/>
        <v>255061</v>
      </c>
      <c r="AM20" s="17"/>
      <c r="AN20" s="18">
        <v>225000</v>
      </c>
      <c r="AO20" s="18">
        <f t="shared" si="17"/>
        <v>0</v>
      </c>
      <c r="AP20" s="18"/>
    </row>
    <row r="21" spans="1:42" ht="15.75" customHeight="1" x14ac:dyDescent="0.3">
      <c r="A21" s="7"/>
      <c r="B21" s="7"/>
      <c r="C21" s="7" t="str">
        <f t="shared" si="0"/>
        <v>VBFV60SB03</v>
      </c>
      <c r="D21" s="7" t="s">
        <v>43</v>
      </c>
      <c r="E21" s="7"/>
      <c r="F21" s="8">
        <v>350</v>
      </c>
      <c r="G21" s="9" t="s">
        <v>46</v>
      </c>
      <c r="H21" s="7" t="str">
        <f>VLOOKUP(G21,'[1]Price Components'!B:C,2,0)</f>
        <v>Assam</v>
      </c>
      <c r="I21" s="7" t="str">
        <f>VLOOKUP(G21,'[1]Price Components'!B:D,3,0)</f>
        <v>EX-SHOWROOM</v>
      </c>
      <c r="J21" s="10">
        <f t="shared" si="1"/>
        <v>4.2498533391366881E-2</v>
      </c>
      <c r="K21" s="11">
        <v>163052</v>
      </c>
      <c r="L21" s="12">
        <f t="shared" si="2"/>
        <v>-866.74620626986143</v>
      </c>
      <c r="M21" s="11">
        <v>162185.25379373014</v>
      </c>
      <c r="N21" s="8">
        <v>1279</v>
      </c>
      <c r="O21" s="13">
        <f>VLOOKUP(G21,'[1]Price Components'!B:E,4,0)</f>
        <v>1670</v>
      </c>
      <c r="P21" s="13">
        <f t="shared" si="3"/>
        <v>165134</v>
      </c>
      <c r="Q21" s="14">
        <f>ROUND(IF(F21&lt;500,VLOOKUP(G21,'[1]Price Components'!B:G,5,0),VLOOKUP(G21,'[1]Price Components'!B:G,6,0)),2)</f>
        <v>1372</v>
      </c>
      <c r="R21" s="11">
        <f t="shared" si="4"/>
        <v>8983</v>
      </c>
      <c r="S21" s="13">
        <v>0</v>
      </c>
      <c r="T21" s="11">
        <f t="shared" si="5"/>
        <v>8983</v>
      </c>
      <c r="U21" s="11">
        <v>292</v>
      </c>
      <c r="V21" s="13">
        <f t="shared" si="6"/>
        <v>9275</v>
      </c>
      <c r="W21" s="13">
        <f t="shared" si="7"/>
        <v>211372</v>
      </c>
      <c r="X21" s="13">
        <f t="shared" si="8"/>
        <v>175781</v>
      </c>
      <c r="Y21" s="13">
        <f t="shared" si="9"/>
        <v>49219</v>
      </c>
      <c r="Z21" s="11">
        <v>0</v>
      </c>
      <c r="AA21" s="13">
        <f t="shared" si="22"/>
        <v>225000</v>
      </c>
      <c r="AB21" s="13" t="str">
        <f t="shared" si="11"/>
        <v>C</v>
      </c>
      <c r="AC21" s="15">
        <f>IF(AB21="A",VLOOKUP($G21,'[1]Price Components'!$B:$AC,7,0),IF(AB21="B",VLOOKUP($G21,'[1]Price Components'!$B:$AC,8,0),IF(AB21="C",VLOOKUP($G21,'[1]Price Components'!$B:$AC,9,0),IF(AB21="E",15%,IF(AB21="D",VLOOKUP($G21,'[1]Price Components'!$B:$AC,10,0))))))</f>
        <v>0.08</v>
      </c>
      <c r="AD21" s="13">
        <f>ROUND(IF(AC21=0,VLOOKUP($G21,'[1]Price Components'!$B:$AC,11,0),IF(I21="BASIC",X21*AC21,AA21*AC21)),0)</f>
        <v>18000</v>
      </c>
      <c r="AE21" s="13">
        <f t="shared" si="21"/>
        <v>930</v>
      </c>
      <c r="AF21" s="16">
        <f>VLOOKUP($G21,'[1]Price Components'!$B:$AC,14,0)</f>
        <v>7.92E-3</v>
      </c>
      <c r="AG21" s="16">
        <f>VLOOKUP($G21,'[1]Price Components'!$B:$AC,15,0)</f>
        <v>8.2979999999999998E-3</v>
      </c>
      <c r="AH21" s="13">
        <f t="shared" si="12"/>
        <v>1693</v>
      </c>
      <c r="AI21" s="13">
        <f t="shared" si="13"/>
        <v>7740</v>
      </c>
      <c r="AJ21" s="13">
        <f t="shared" si="14"/>
        <v>1698</v>
      </c>
      <c r="AK21" s="13">
        <f t="shared" si="15"/>
        <v>11131</v>
      </c>
      <c r="AL21" s="13">
        <f t="shared" si="16"/>
        <v>255061</v>
      </c>
      <c r="AM21" s="17"/>
      <c r="AN21" s="18">
        <v>225000</v>
      </c>
      <c r="AO21" s="18">
        <f t="shared" si="17"/>
        <v>0</v>
      </c>
      <c r="AP21" s="18"/>
    </row>
    <row r="22" spans="1:42" ht="15.75" customHeight="1" x14ac:dyDescent="0.3">
      <c r="A22" s="7"/>
      <c r="B22" s="7"/>
      <c r="C22" s="7" t="str">
        <f t="shared" si="0"/>
        <v>VBFV60DN03</v>
      </c>
      <c r="D22" s="7" t="s">
        <v>44</v>
      </c>
      <c r="E22" s="7"/>
      <c r="F22" s="8">
        <v>350</v>
      </c>
      <c r="G22" s="9" t="s">
        <v>46</v>
      </c>
      <c r="H22" s="7" t="str">
        <f>VLOOKUP(G22,'[1]Price Components'!B:C,2,0)</f>
        <v>Assam</v>
      </c>
      <c r="I22" s="7" t="str">
        <f>VLOOKUP(G22,'[1]Price Components'!B:D,3,0)</f>
        <v>EX-SHOWROOM</v>
      </c>
      <c r="J22" s="10">
        <f t="shared" si="1"/>
        <v>4.2500913873760489E-2</v>
      </c>
      <c r="K22" s="11">
        <v>166757</v>
      </c>
      <c r="L22" s="12">
        <f t="shared" si="2"/>
        <v>-867.84700755254016</v>
      </c>
      <c r="M22" s="11">
        <v>165889.15299244746</v>
      </c>
      <c r="N22" s="8">
        <v>1279</v>
      </c>
      <c r="O22" s="13">
        <f>VLOOKUP(G22,'[1]Price Components'!B:E,4,0)</f>
        <v>1670</v>
      </c>
      <c r="P22" s="13">
        <f t="shared" si="3"/>
        <v>168838</v>
      </c>
      <c r="Q22" s="14">
        <f>ROUND(IF(F22&lt;500,VLOOKUP(G22,'[1]Price Components'!B:G,5,0),VLOOKUP(G22,'[1]Price Components'!B:G,6,0)),2)</f>
        <v>1372</v>
      </c>
      <c r="R22" s="11">
        <f t="shared" si="4"/>
        <v>9185</v>
      </c>
      <c r="S22" s="13">
        <v>0</v>
      </c>
      <c r="T22" s="11">
        <f t="shared" si="5"/>
        <v>9185</v>
      </c>
      <c r="U22" s="11">
        <v>292</v>
      </c>
      <c r="V22" s="13">
        <f t="shared" si="6"/>
        <v>9477</v>
      </c>
      <c r="W22" s="13">
        <f t="shared" si="7"/>
        <v>216113</v>
      </c>
      <c r="X22" s="13">
        <f t="shared" si="8"/>
        <v>179687</v>
      </c>
      <c r="Y22" s="13">
        <f t="shared" si="9"/>
        <v>50312</v>
      </c>
      <c r="Z22" s="11">
        <v>0</v>
      </c>
      <c r="AA22" s="13">
        <f>ROUND(X22+Y22+Z22,0)+1</f>
        <v>230000</v>
      </c>
      <c r="AB22" s="13" t="str">
        <f t="shared" si="11"/>
        <v>C</v>
      </c>
      <c r="AC22" s="15">
        <f>IF(AB22="A",VLOOKUP($G22,'[1]Price Components'!$B:$AC,7,0),IF(AB22="B",VLOOKUP($G22,'[1]Price Components'!$B:$AC,8,0),IF(AB22="C",VLOOKUP($G22,'[1]Price Components'!$B:$AC,9,0),IF(AB22="E",15%,IF(AB22="D",VLOOKUP($G22,'[1]Price Components'!$B:$AC,10,0))))))</f>
        <v>0.08</v>
      </c>
      <c r="AD22" s="13">
        <f>ROUND(IF(AC22=0,VLOOKUP($G22,'[1]Price Components'!$B:$AC,11,0),IF(I22="BASIC",X22*AC22,AA22*AC22)),0)</f>
        <v>18400</v>
      </c>
      <c r="AE22" s="13">
        <f t="shared" si="21"/>
        <v>934</v>
      </c>
      <c r="AF22" s="16">
        <f>VLOOKUP($G22,'[1]Price Components'!$B:$AC,14,0)</f>
        <v>7.92E-3</v>
      </c>
      <c r="AG22" s="16">
        <f>VLOOKUP($G22,'[1]Price Components'!$B:$AC,15,0)</f>
        <v>8.2979999999999998E-3</v>
      </c>
      <c r="AH22" s="13">
        <f t="shared" si="12"/>
        <v>1731</v>
      </c>
      <c r="AI22" s="13">
        <f t="shared" si="13"/>
        <v>7740</v>
      </c>
      <c r="AJ22" s="13">
        <f t="shared" si="14"/>
        <v>1705</v>
      </c>
      <c r="AK22" s="13">
        <f t="shared" si="15"/>
        <v>11176</v>
      </c>
      <c r="AL22" s="13">
        <f t="shared" si="16"/>
        <v>260510</v>
      </c>
      <c r="AM22" s="17"/>
      <c r="AN22" s="18">
        <v>230000</v>
      </c>
      <c r="AO22" s="18">
        <f t="shared" si="17"/>
        <v>0</v>
      </c>
      <c r="AP22" s="18"/>
    </row>
    <row r="23" spans="1:42" ht="15.75" customHeight="1" x14ac:dyDescent="0.3">
      <c r="A23" s="7"/>
      <c r="B23" s="7"/>
      <c r="C23" s="7" t="str">
        <f t="shared" si="0"/>
        <v>VBFV60RR04</v>
      </c>
      <c r="D23" s="7" t="s">
        <v>37</v>
      </c>
      <c r="E23" s="7"/>
      <c r="F23" s="8">
        <v>350</v>
      </c>
      <c r="G23" s="9" t="s">
        <v>47</v>
      </c>
      <c r="H23" s="7" t="str">
        <f>VLOOKUP(G23,'[1]Price Components'!B:C,2,0)</f>
        <v>Bihar</v>
      </c>
      <c r="I23" s="7" t="str">
        <f>VLOOKUP(G23,'[1]Price Components'!B:D,3,0)</f>
        <v>EX-SHOWROOM</v>
      </c>
      <c r="J23" s="10">
        <f t="shared" si="1"/>
        <v>4.249902598615566E-2</v>
      </c>
      <c r="K23" s="11">
        <v>144158</v>
      </c>
      <c r="L23" s="12">
        <f t="shared" si="2"/>
        <v>165.11119917084579</v>
      </c>
      <c r="M23" s="11">
        <v>144323.11119917085</v>
      </c>
      <c r="N23" s="8">
        <v>1279</v>
      </c>
      <c r="O23" s="13">
        <f>VLOOKUP(G23,'[1]Price Components'!B:E,4,0)</f>
        <v>780</v>
      </c>
      <c r="P23" s="13">
        <f t="shared" si="3"/>
        <v>146382</v>
      </c>
      <c r="Q23" s="14">
        <f>ROUND(IF(F23&lt;500,VLOOKUP(G23,'[1]Price Components'!B:G,5,0),VLOOKUP(G23,'[1]Price Components'!B:G,6,0)),2)</f>
        <v>1222</v>
      </c>
      <c r="R23" s="11">
        <f t="shared" si="4"/>
        <v>7963</v>
      </c>
      <c r="S23" s="13">
        <v>0</v>
      </c>
      <c r="T23" s="11">
        <f t="shared" si="5"/>
        <v>7963</v>
      </c>
      <c r="U23" s="11">
        <v>292</v>
      </c>
      <c r="V23" s="13">
        <f t="shared" si="6"/>
        <v>8255</v>
      </c>
      <c r="W23" s="13">
        <f t="shared" si="7"/>
        <v>187369</v>
      </c>
      <c r="X23" s="13">
        <f t="shared" si="8"/>
        <v>155859</v>
      </c>
      <c r="Y23" s="13">
        <f t="shared" si="9"/>
        <v>43641</v>
      </c>
      <c r="Z23" s="11">
        <v>0</v>
      </c>
      <c r="AA23" s="13">
        <f t="shared" ref="AA23:AA28" si="23">ROUND(X23+Y23+Z23,0)</f>
        <v>199500</v>
      </c>
      <c r="AB23" s="13" t="str">
        <f t="shared" si="11"/>
        <v>B</v>
      </c>
      <c r="AC23" s="15">
        <f>IF(AB23="A",VLOOKUP($G23,'[1]Price Components'!$B:$AC,7,0),IF(AB23="B",VLOOKUP($G23,'[1]Price Components'!$B:$AC,8,0),IF(AB23="C",VLOOKUP($G23,'[1]Price Components'!$B:$AC,9,0),IF(AB23="E",15%,IF(AB23="D",VLOOKUP($G23,'[1]Price Components'!$B:$AC,10,0))))))</f>
        <v>0.1</v>
      </c>
      <c r="AD23" s="13">
        <f>ROUND(IF(AC23=0,VLOOKUP($G23,'[1]Price Components'!$B:$AC,11,0),IF(I23="BASIC",X23*AC23,AA23*AC23)),0)</f>
        <v>19950</v>
      </c>
      <c r="AE23" s="13">
        <f>ROUND(VLOOKUP($G23,'[1]Price Components'!$B:$AC,12,0),0)</f>
        <v>1135</v>
      </c>
      <c r="AF23" s="16">
        <f>VLOOKUP($G23,'[1]Price Components'!$B:$AC,14,0)</f>
        <v>7.92E-3</v>
      </c>
      <c r="AG23" s="16">
        <f>VLOOKUP($G23,'[1]Price Components'!$B:$AC,15,0)</f>
        <v>8.2979999999999998E-3</v>
      </c>
      <c r="AH23" s="13">
        <f t="shared" si="12"/>
        <v>1501</v>
      </c>
      <c r="AI23" s="13">
        <f t="shared" si="13"/>
        <v>7740</v>
      </c>
      <c r="AJ23" s="13">
        <f t="shared" si="14"/>
        <v>1663</v>
      </c>
      <c r="AK23" s="13">
        <f t="shared" si="15"/>
        <v>10904</v>
      </c>
      <c r="AL23" s="13">
        <f t="shared" si="16"/>
        <v>231489</v>
      </c>
      <c r="AM23" s="17"/>
      <c r="AN23" s="18">
        <v>199500</v>
      </c>
      <c r="AO23" s="18">
        <f t="shared" si="17"/>
        <v>0</v>
      </c>
      <c r="AP23" s="18"/>
    </row>
    <row r="24" spans="1:42" ht="15.75" customHeight="1" x14ac:dyDescent="0.3">
      <c r="A24" s="7"/>
      <c r="B24" s="7"/>
      <c r="C24" s="7" t="str">
        <f t="shared" si="0"/>
        <v>VBFV60EB04</v>
      </c>
      <c r="D24" s="7" t="s">
        <v>39</v>
      </c>
      <c r="E24" s="7"/>
      <c r="F24" s="8">
        <v>350</v>
      </c>
      <c r="G24" s="9" t="s">
        <v>47</v>
      </c>
      <c r="H24" s="7" t="str">
        <f>VLOOKUP(G24,'[1]Price Components'!B:C,2,0)</f>
        <v>Bihar</v>
      </c>
      <c r="I24" s="7" t="str">
        <f>VLOOKUP(G24,'[1]Price Components'!B:D,3,0)</f>
        <v>EX-SHOWROOM</v>
      </c>
      <c r="J24" s="10">
        <f t="shared" si="1"/>
        <v>4.249902598615566E-2</v>
      </c>
      <c r="K24" s="11">
        <v>144158</v>
      </c>
      <c r="L24" s="12">
        <f t="shared" si="2"/>
        <v>165.11119917084579</v>
      </c>
      <c r="M24" s="11">
        <v>144323.11119917085</v>
      </c>
      <c r="N24" s="8">
        <v>1279</v>
      </c>
      <c r="O24" s="13">
        <f>VLOOKUP(G24,'[1]Price Components'!B:E,4,0)</f>
        <v>780</v>
      </c>
      <c r="P24" s="13">
        <f t="shared" si="3"/>
        <v>146382</v>
      </c>
      <c r="Q24" s="14">
        <f>ROUND(IF(F24&lt;500,VLOOKUP(G24,'[1]Price Components'!B:G,5,0),VLOOKUP(G24,'[1]Price Components'!B:G,6,0)),2)</f>
        <v>1222</v>
      </c>
      <c r="R24" s="11">
        <f t="shared" si="4"/>
        <v>7963</v>
      </c>
      <c r="S24" s="13">
        <v>0</v>
      </c>
      <c r="T24" s="11">
        <f t="shared" si="5"/>
        <v>7963</v>
      </c>
      <c r="U24" s="11">
        <v>292</v>
      </c>
      <c r="V24" s="13">
        <f t="shared" si="6"/>
        <v>8255</v>
      </c>
      <c r="W24" s="13">
        <f t="shared" si="7"/>
        <v>187369</v>
      </c>
      <c r="X24" s="13">
        <f t="shared" si="8"/>
        <v>155859</v>
      </c>
      <c r="Y24" s="13">
        <f t="shared" si="9"/>
        <v>43641</v>
      </c>
      <c r="Z24" s="11">
        <v>0</v>
      </c>
      <c r="AA24" s="13">
        <f t="shared" si="23"/>
        <v>199500</v>
      </c>
      <c r="AB24" s="13" t="str">
        <f t="shared" si="11"/>
        <v>B</v>
      </c>
      <c r="AC24" s="15">
        <f>IF(AB24="A",VLOOKUP($G24,'[1]Price Components'!$B:$AC,7,0),IF(AB24="B",VLOOKUP($G24,'[1]Price Components'!$B:$AC,8,0),IF(AB24="C",VLOOKUP($G24,'[1]Price Components'!$B:$AC,9,0),IF(AB24="E",15%,IF(AB24="D",VLOOKUP($G24,'[1]Price Components'!$B:$AC,10,0))))))</f>
        <v>0.1</v>
      </c>
      <c r="AD24" s="13">
        <f>ROUND(IF(AC24=0,VLOOKUP($G24,'[1]Price Components'!$B:$AC,11,0),IF(I24="BASIC",X24*AC24,AA24*AC24)),0)</f>
        <v>19950</v>
      </c>
      <c r="AE24" s="13">
        <f>ROUND(VLOOKUP($G24,'[1]Price Components'!$B:$AC,12,0),0)</f>
        <v>1135</v>
      </c>
      <c r="AF24" s="16">
        <f>VLOOKUP($G24,'[1]Price Components'!$B:$AC,14,0)</f>
        <v>7.92E-3</v>
      </c>
      <c r="AG24" s="16">
        <f>VLOOKUP($G24,'[1]Price Components'!$B:$AC,15,0)</f>
        <v>8.2979999999999998E-3</v>
      </c>
      <c r="AH24" s="13">
        <f t="shared" si="12"/>
        <v>1501</v>
      </c>
      <c r="AI24" s="13">
        <f t="shared" si="13"/>
        <v>7740</v>
      </c>
      <c r="AJ24" s="13">
        <f t="shared" si="14"/>
        <v>1663</v>
      </c>
      <c r="AK24" s="13">
        <f t="shared" si="15"/>
        <v>10904</v>
      </c>
      <c r="AL24" s="13">
        <f t="shared" si="16"/>
        <v>231489</v>
      </c>
      <c r="AM24" s="17"/>
      <c r="AN24" s="18">
        <v>199500</v>
      </c>
      <c r="AO24" s="18">
        <f t="shared" si="17"/>
        <v>0</v>
      </c>
      <c r="AP24" s="18"/>
    </row>
    <row r="25" spans="1:42" ht="15.75" customHeight="1" x14ac:dyDescent="0.3">
      <c r="A25" s="7"/>
      <c r="B25" s="7"/>
      <c r="C25" s="7" t="str">
        <f t="shared" si="0"/>
        <v>VBFV60HG04</v>
      </c>
      <c r="D25" s="7" t="s">
        <v>40</v>
      </c>
      <c r="E25" s="7"/>
      <c r="F25" s="8">
        <v>350</v>
      </c>
      <c r="G25" s="9" t="s">
        <v>47</v>
      </c>
      <c r="H25" s="7" t="str">
        <f>VLOOKUP(G25,'[1]Price Components'!B:C,2,0)</f>
        <v>Bihar</v>
      </c>
      <c r="I25" s="7" t="str">
        <f>VLOOKUP(G25,'[1]Price Components'!B:D,3,0)</f>
        <v>EX-SHOWROOM</v>
      </c>
      <c r="J25" s="10">
        <f t="shared" si="1"/>
        <v>4.2502452566323658E-2</v>
      </c>
      <c r="K25" s="11">
        <v>147492</v>
      </c>
      <c r="L25" s="12">
        <f t="shared" si="2"/>
        <v>165.19696634856518</v>
      </c>
      <c r="M25" s="11">
        <v>147657.19696634857</v>
      </c>
      <c r="N25" s="8">
        <v>1279</v>
      </c>
      <c r="O25" s="13">
        <f>VLOOKUP(G25,'[1]Price Components'!B:E,4,0)</f>
        <v>780</v>
      </c>
      <c r="P25" s="13">
        <f t="shared" si="3"/>
        <v>149716</v>
      </c>
      <c r="Q25" s="14">
        <f>ROUND(IF(F25&lt;500,VLOOKUP(G25,'[1]Price Components'!B:G,5,0),VLOOKUP(G25,'[1]Price Components'!B:G,6,0)),2)</f>
        <v>1222</v>
      </c>
      <c r="R25" s="11">
        <f t="shared" si="4"/>
        <v>8145</v>
      </c>
      <c r="S25" s="13">
        <v>0</v>
      </c>
      <c r="T25" s="11">
        <f t="shared" si="5"/>
        <v>8145</v>
      </c>
      <c r="U25" s="11">
        <v>292</v>
      </c>
      <c r="V25" s="13">
        <f t="shared" si="6"/>
        <v>8437</v>
      </c>
      <c r="W25" s="13">
        <f t="shared" si="7"/>
        <v>191636</v>
      </c>
      <c r="X25" s="13">
        <f t="shared" si="8"/>
        <v>159375</v>
      </c>
      <c r="Y25" s="13">
        <f t="shared" si="9"/>
        <v>44625</v>
      </c>
      <c r="Z25" s="11">
        <v>0</v>
      </c>
      <c r="AA25" s="13">
        <f t="shared" si="23"/>
        <v>204000</v>
      </c>
      <c r="AB25" s="13" t="str">
        <f t="shared" si="11"/>
        <v>C</v>
      </c>
      <c r="AC25" s="15">
        <f>IF(AB25="A",VLOOKUP($G25,'[1]Price Components'!$B:$AC,7,0),IF(AB25="B",VLOOKUP($G25,'[1]Price Components'!$B:$AC,8,0),IF(AB25="C",VLOOKUP($G25,'[1]Price Components'!$B:$AC,9,0),IF(AB25="E",15%,IF(AB25="D",VLOOKUP($G25,'[1]Price Components'!$B:$AC,10,0))))))</f>
        <v>0.1</v>
      </c>
      <c r="AD25" s="13">
        <f>ROUND(IF(AC25=0,VLOOKUP($G25,'[1]Price Components'!$B:$AC,11,0),IF(I25="BASIC",X25*AC25,AA25*AC25)),0)</f>
        <v>20400</v>
      </c>
      <c r="AE25" s="13">
        <f>ROUND(VLOOKUP($G25,'[1]Price Components'!$B:$AC,12,0),0)</f>
        <v>1135</v>
      </c>
      <c r="AF25" s="16">
        <f>VLOOKUP($G25,'[1]Price Components'!$B:$AC,14,0)</f>
        <v>7.92E-3</v>
      </c>
      <c r="AG25" s="16">
        <f>VLOOKUP($G25,'[1]Price Components'!$B:$AC,15,0)</f>
        <v>8.2979999999999998E-3</v>
      </c>
      <c r="AH25" s="13">
        <f t="shared" si="12"/>
        <v>1535</v>
      </c>
      <c r="AI25" s="13">
        <f t="shared" si="13"/>
        <v>7740</v>
      </c>
      <c r="AJ25" s="13">
        <f t="shared" si="14"/>
        <v>1670</v>
      </c>
      <c r="AK25" s="13">
        <f t="shared" si="15"/>
        <v>10945</v>
      </c>
      <c r="AL25" s="13">
        <f t="shared" si="16"/>
        <v>236480</v>
      </c>
      <c r="AM25" s="17"/>
      <c r="AN25" s="18">
        <v>204000</v>
      </c>
      <c r="AO25" s="18">
        <f t="shared" si="17"/>
        <v>0</v>
      </c>
      <c r="AP25" s="18"/>
    </row>
    <row r="26" spans="1:42" ht="15.75" customHeight="1" x14ac:dyDescent="0.3">
      <c r="A26" s="7"/>
      <c r="B26" s="7"/>
      <c r="C26" s="7" t="str">
        <f t="shared" si="0"/>
        <v>VBFV60SE04</v>
      </c>
      <c r="D26" s="7" t="s">
        <v>41</v>
      </c>
      <c r="E26" s="7"/>
      <c r="F26" s="8">
        <v>350</v>
      </c>
      <c r="G26" s="9" t="s">
        <v>47</v>
      </c>
      <c r="H26" s="7" t="str">
        <f>VLOOKUP(G26,'[1]Price Components'!B:C,2,0)</f>
        <v>Bihar</v>
      </c>
      <c r="I26" s="7" t="str">
        <f>VLOOKUP(G26,'[1]Price Components'!B:D,3,0)</f>
        <v>EX-SHOWROOM</v>
      </c>
      <c r="J26" s="10">
        <f t="shared" si="1"/>
        <v>4.2498694697021937E-2</v>
      </c>
      <c r="K26" s="11">
        <v>156384</v>
      </c>
      <c r="L26" s="12">
        <f t="shared" si="2"/>
        <v>165.19958313595271</v>
      </c>
      <c r="M26" s="11">
        <v>156549.19958313595</v>
      </c>
      <c r="N26" s="8">
        <v>1279</v>
      </c>
      <c r="O26" s="13">
        <f>VLOOKUP(G26,'[1]Price Components'!B:E,4,0)</f>
        <v>780</v>
      </c>
      <c r="P26" s="13">
        <f t="shared" si="3"/>
        <v>158608</v>
      </c>
      <c r="Q26" s="14">
        <f>ROUND(IF(F26&lt;500,VLOOKUP(G26,'[1]Price Components'!B:G,5,0),VLOOKUP(G26,'[1]Price Components'!B:G,6,0)),2)</f>
        <v>1222</v>
      </c>
      <c r="R26" s="11">
        <f t="shared" si="4"/>
        <v>8628</v>
      </c>
      <c r="S26" s="13">
        <v>0</v>
      </c>
      <c r="T26" s="11">
        <f t="shared" si="5"/>
        <v>8628</v>
      </c>
      <c r="U26" s="11">
        <v>292</v>
      </c>
      <c r="V26" s="13">
        <f t="shared" si="6"/>
        <v>8920</v>
      </c>
      <c r="W26" s="13">
        <f t="shared" si="7"/>
        <v>203018</v>
      </c>
      <c r="X26" s="13">
        <f t="shared" si="8"/>
        <v>168750</v>
      </c>
      <c r="Y26" s="13">
        <f t="shared" si="9"/>
        <v>47250</v>
      </c>
      <c r="Z26" s="11">
        <v>0</v>
      </c>
      <c r="AA26" s="13">
        <f t="shared" si="23"/>
        <v>216000</v>
      </c>
      <c r="AB26" s="13" t="str">
        <f t="shared" si="11"/>
        <v>C</v>
      </c>
      <c r="AC26" s="15">
        <f>IF(AB26="A",VLOOKUP($G26,'[1]Price Components'!$B:$AC,7,0),IF(AB26="B",VLOOKUP($G26,'[1]Price Components'!$B:$AC,8,0),IF(AB26="C",VLOOKUP($G26,'[1]Price Components'!$B:$AC,9,0),IF(AB26="E",15%,IF(AB26="D",VLOOKUP($G26,'[1]Price Components'!$B:$AC,10,0))))))</f>
        <v>0.1</v>
      </c>
      <c r="AD26" s="13">
        <f>ROUND(IF(AC26=0,VLOOKUP($G26,'[1]Price Components'!$B:$AC,11,0),IF(I26="BASIC",X26*AC26,AA26*AC26)),0)</f>
        <v>21600</v>
      </c>
      <c r="AE26" s="13">
        <f>ROUND(VLOOKUP($G26,'[1]Price Components'!$B:$AC,12,0),0)</f>
        <v>1135</v>
      </c>
      <c r="AF26" s="16">
        <f>VLOOKUP($G26,'[1]Price Components'!$B:$AC,14,0)</f>
        <v>7.92E-3</v>
      </c>
      <c r="AG26" s="16">
        <f>VLOOKUP($G26,'[1]Price Components'!$B:$AC,15,0)</f>
        <v>8.2979999999999998E-3</v>
      </c>
      <c r="AH26" s="13">
        <f t="shared" si="12"/>
        <v>1625</v>
      </c>
      <c r="AI26" s="13">
        <f t="shared" si="13"/>
        <v>7740</v>
      </c>
      <c r="AJ26" s="13">
        <f t="shared" si="14"/>
        <v>1686</v>
      </c>
      <c r="AK26" s="13">
        <f t="shared" si="15"/>
        <v>11051</v>
      </c>
      <c r="AL26" s="13">
        <f t="shared" si="16"/>
        <v>249786</v>
      </c>
      <c r="AM26" s="17"/>
      <c r="AN26" s="18">
        <v>216000</v>
      </c>
      <c r="AO26" s="18">
        <f t="shared" si="17"/>
        <v>0</v>
      </c>
      <c r="AP26" s="18"/>
    </row>
    <row r="27" spans="1:42" ht="15.75" customHeight="1" x14ac:dyDescent="0.3">
      <c r="A27" s="7"/>
      <c r="B27" s="7"/>
      <c r="C27" s="7" t="str">
        <f t="shared" si="0"/>
        <v>VBFV60GM04</v>
      </c>
      <c r="D27" s="7" t="s">
        <v>42</v>
      </c>
      <c r="E27" s="7"/>
      <c r="F27" s="8">
        <v>350</v>
      </c>
      <c r="G27" s="9" t="s">
        <v>47</v>
      </c>
      <c r="H27" s="7" t="str">
        <f>VLOOKUP(G27,'[1]Price Components'!B:C,2,0)</f>
        <v>Bihar</v>
      </c>
      <c r="I27" s="7" t="str">
        <f>VLOOKUP(G27,'[1]Price Components'!B:D,3,0)</f>
        <v>EX-SHOWROOM</v>
      </c>
      <c r="J27" s="10">
        <f t="shared" si="1"/>
        <v>4.2499988182630358E-2</v>
      </c>
      <c r="K27" s="11">
        <v>163052</v>
      </c>
      <c r="L27" s="12">
        <f t="shared" si="2"/>
        <v>165.12532243414898</v>
      </c>
      <c r="M27" s="11">
        <v>163217.12532243415</v>
      </c>
      <c r="N27" s="8">
        <v>1279</v>
      </c>
      <c r="O27" s="13">
        <f>VLOOKUP(G27,'[1]Price Components'!B:E,4,0)</f>
        <v>780</v>
      </c>
      <c r="P27" s="13">
        <f t="shared" si="3"/>
        <v>165276</v>
      </c>
      <c r="Q27" s="14">
        <f>ROUND(IF(F27&lt;500,VLOOKUP(G27,'[1]Price Components'!B:G,5,0),VLOOKUP(G27,'[1]Price Components'!B:G,6,0)),2)</f>
        <v>1222</v>
      </c>
      <c r="R27" s="11">
        <f t="shared" si="4"/>
        <v>8991</v>
      </c>
      <c r="S27" s="13">
        <v>0</v>
      </c>
      <c r="T27" s="11">
        <f t="shared" si="5"/>
        <v>8991</v>
      </c>
      <c r="U27" s="11">
        <v>292</v>
      </c>
      <c r="V27" s="13">
        <f t="shared" si="6"/>
        <v>9283</v>
      </c>
      <c r="W27" s="13">
        <f t="shared" si="7"/>
        <v>211553</v>
      </c>
      <c r="X27" s="13">
        <f t="shared" si="8"/>
        <v>175781</v>
      </c>
      <c r="Y27" s="13">
        <f t="shared" si="9"/>
        <v>49219</v>
      </c>
      <c r="Z27" s="11">
        <v>0</v>
      </c>
      <c r="AA27" s="13">
        <f t="shared" si="23"/>
        <v>225000</v>
      </c>
      <c r="AB27" s="13" t="str">
        <f t="shared" si="11"/>
        <v>C</v>
      </c>
      <c r="AC27" s="15">
        <f>IF(AB27="A",VLOOKUP($G27,'[1]Price Components'!$B:$AC,7,0),IF(AB27="B",VLOOKUP($G27,'[1]Price Components'!$B:$AC,8,0),IF(AB27="C",VLOOKUP($G27,'[1]Price Components'!$B:$AC,9,0),IF(AB27="E",15%,IF(AB27="D",VLOOKUP($G27,'[1]Price Components'!$B:$AC,10,0))))))</f>
        <v>0.1</v>
      </c>
      <c r="AD27" s="13">
        <f>ROUND(IF(AC27=0,VLOOKUP($G27,'[1]Price Components'!$B:$AC,11,0),IF(I27="BASIC",X27*AC27,AA27*AC27)),0)</f>
        <v>22500</v>
      </c>
      <c r="AE27" s="13">
        <f>ROUND(VLOOKUP($G27,'[1]Price Components'!$B:$AC,12,0),0)</f>
        <v>1135</v>
      </c>
      <c r="AF27" s="16">
        <f>VLOOKUP($G27,'[1]Price Components'!$B:$AC,14,0)</f>
        <v>7.92E-3</v>
      </c>
      <c r="AG27" s="16">
        <f>VLOOKUP($G27,'[1]Price Components'!$B:$AC,15,0)</f>
        <v>8.2979999999999998E-3</v>
      </c>
      <c r="AH27" s="13">
        <f t="shared" si="12"/>
        <v>1693</v>
      </c>
      <c r="AI27" s="13">
        <f t="shared" si="13"/>
        <v>7740</v>
      </c>
      <c r="AJ27" s="13">
        <f t="shared" si="14"/>
        <v>1698</v>
      </c>
      <c r="AK27" s="13">
        <f t="shared" si="15"/>
        <v>11131</v>
      </c>
      <c r="AL27" s="13">
        <f t="shared" si="16"/>
        <v>259766</v>
      </c>
      <c r="AM27" s="17"/>
      <c r="AN27" s="18">
        <v>225000</v>
      </c>
      <c r="AO27" s="18">
        <f t="shared" si="17"/>
        <v>0</v>
      </c>
      <c r="AP27" s="18"/>
    </row>
    <row r="28" spans="1:42" ht="15.75" customHeight="1" x14ac:dyDescent="0.3">
      <c r="A28" s="7"/>
      <c r="B28" s="7"/>
      <c r="C28" s="7" t="str">
        <f t="shared" si="0"/>
        <v>VBFV60SB04</v>
      </c>
      <c r="D28" s="7" t="s">
        <v>43</v>
      </c>
      <c r="E28" s="7"/>
      <c r="F28" s="8">
        <v>350</v>
      </c>
      <c r="G28" s="9" t="s">
        <v>47</v>
      </c>
      <c r="H28" s="7" t="str">
        <f>VLOOKUP(G28,'[1]Price Components'!B:C,2,0)</f>
        <v>Bihar</v>
      </c>
      <c r="I28" s="7" t="str">
        <f>VLOOKUP(G28,'[1]Price Components'!B:D,3,0)</f>
        <v>EX-SHOWROOM</v>
      </c>
      <c r="J28" s="10">
        <f t="shared" si="1"/>
        <v>4.2499988182630358E-2</v>
      </c>
      <c r="K28" s="11">
        <v>163052</v>
      </c>
      <c r="L28" s="12">
        <f t="shared" si="2"/>
        <v>165.12532243414898</v>
      </c>
      <c r="M28" s="11">
        <v>163217.12532243415</v>
      </c>
      <c r="N28" s="8">
        <v>1279</v>
      </c>
      <c r="O28" s="13">
        <f>VLOOKUP(G28,'[1]Price Components'!B:E,4,0)</f>
        <v>780</v>
      </c>
      <c r="P28" s="13">
        <f t="shared" si="3"/>
        <v>165276</v>
      </c>
      <c r="Q28" s="14">
        <f>ROUND(IF(F28&lt;500,VLOOKUP(G28,'[1]Price Components'!B:G,5,0),VLOOKUP(G28,'[1]Price Components'!B:G,6,0)),2)</f>
        <v>1222</v>
      </c>
      <c r="R28" s="11">
        <f t="shared" si="4"/>
        <v>8991</v>
      </c>
      <c r="S28" s="13">
        <v>0</v>
      </c>
      <c r="T28" s="11">
        <f t="shared" si="5"/>
        <v>8991</v>
      </c>
      <c r="U28" s="11">
        <v>292</v>
      </c>
      <c r="V28" s="13">
        <f t="shared" si="6"/>
        <v>9283</v>
      </c>
      <c r="W28" s="13">
        <f t="shared" si="7"/>
        <v>211553</v>
      </c>
      <c r="X28" s="13">
        <f t="shared" si="8"/>
        <v>175781</v>
      </c>
      <c r="Y28" s="13">
        <f t="shared" si="9"/>
        <v>49219</v>
      </c>
      <c r="Z28" s="11">
        <v>0</v>
      </c>
      <c r="AA28" s="13">
        <f t="shared" si="23"/>
        <v>225000</v>
      </c>
      <c r="AB28" s="13" t="str">
        <f t="shared" si="11"/>
        <v>C</v>
      </c>
      <c r="AC28" s="15">
        <f>IF(AB28="A",VLOOKUP($G28,'[1]Price Components'!$B:$AC,7,0),IF(AB28="B",VLOOKUP($G28,'[1]Price Components'!$B:$AC,8,0),IF(AB28="C",VLOOKUP($G28,'[1]Price Components'!$B:$AC,9,0),IF(AB28="E",15%,IF(AB28="D",VLOOKUP($G28,'[1]Price Components'!$B:$AC,10,0))))))</f>
        <v>0.1</v>
      </c>
      <c r="AD28" s="13">
        <f>ROUND(IF(AC28=0,VLOOKUP($G28,'[1]Price Components'!$B:$AC,11,0),IF(I28="BASIC",X28*AC28,AA28*AC28)),0)</f>
        <v>22500</v>
      </c>
      <c r="AE28" s="13">
        <f>ROUND(VLOOKUP($G28,'[1]Price Components'!$B:$AC,12,0),0)</f>
        <v>1135</v>
      </c>
      <c r="AF28" s="16">
        <f>VLOOKUP($G28,'[1]Price Components'!$B:$AC,14,0)</f>
        <v>7.92E-3</v>
      </c>
      <c r="AG28" s="16">
        <f>VLOOKUP($G28,'[1]Price Components'!$B:$AC,15,0)</f>
        <v>8.2979999999999998E-3</v>
      </c>
      <c r="AH28" s="13">
        <f t="shared" si="12"/>
        <v>1693</v>
      </c>
      <c r="AI28" s="13">
        <f t="shared" si="13"/>
        <v>7740</v>
      </c>
      <c r="AJ28" s="13">
        <f t="shared" si="14"/>
        <v>1698</v>
      </c>
      <c r="AK28" s="13">
        <f t="shared" si="15"/>
        <v>11131</v>
      </c>
      <c r="AL28" s="13">
        <f t="shared" si="16"/>
        <v>259766</v>
      </c>
      <c r="AM28" s="17"/>
      <c r="AN28" s="18">
        <v>225000</v>
      </c>
      <c r="AO28" s="18">
        <f t="shared" si="17"/>
        <v>0</v>
      </c>
      <c r="AP28" s="18"/>
    </row>
    <row r="29" spans="1:42" ht="15.75" customHeight="1" x14ac:dyDescent="0.3">
      <c r="A29" s="7"/>
      <c r="B29" s="7"/>
      <c r="C29" s="7" t="str">
        <f t="shared" si="0"/>
        <v>VBFV60DN04</v>
      </c>
      <c r="D29" s="7" t="s">
        <v>44</v>
      </c>
      <c r="E29" s="7"/>
      <c r="F29" s="8">
        <v>350</v>
      </c>
      <c r="G29" s="9" t="s">
        <v>47</v>
      </c>
      <c r="H29" s="7" t="str">
        <f>VLOOKUP(G29,'[1]Price Components'!B:C,2,0)</f>
        <v>Bihar</v>
      </c>
      <c r="I29" s="7" t="str">
        <f>VLOOKUP(G29,'[1]Price Components'!B:D,3,0)</f>
        <v>EX-SHOWROOM</v>
      </c>
      <c r="J29" s="10">
        <f t="shared" si="1"/>
        <v>4.2497711448306469E-2</v>
      </c>
      <c r="K29" s="11">
        <v>166757</v>
      </c>
      <c r="L29" s="12">
        <f t="shared" si="2"/>
        <v>163.79950122060836</v>
      </c>
      <c r="M29" s="11">
        <v>166920.79950122061</v>
      </c>
      <c r="N29" s="8">
        <v>1279</v>
      </c>
      <c r="O29" s="13">
        <f>VLOOKUP(G29,'[1]Price Components'!B:E,4,0)</f>
        <v>780</v>
      </c>
      <c r="P29" s="13">
        <f t="shared" si="3"/>
        <v>168980</v>
      </c>
      <c r="Q29" s="14">
        <f>ROUND(IF(F29&lt;500,VLOOKUP(G29,'[1]Price Components'!B:G,5,0),VLOOKUP(G29,'[1]Price Components'!B:G,6,0)),2)</f>
        <v>1222</v>
      </c>
      <c r="R29" s="11">
        <f t="shared" si="4"/>
        <v>9192</v>
      </c>
      <c r="S29" s="13">
        <v>0</v>
      </c>
      <c r="T29" s="11">
        <f t="shared" si="5"/>
        <v>9192</v>
      </c>
      <c r="U29" s="11">
        <v>292</v>
      </c>
      <c r="V29" s="13">
        <f t="shared" si="6"/>
        <v>9484</v>
      </c>
      <c r="W29" s="13">
        <f t="shared" si="7"/>
        <v>216294</v>
      </c>
      <c r="X29" s="13">
        <f t="shared" si="8"/>
        <v>179686</v>
      </c>
      <c r="Y29" s="13">
        <f t="shared" si="9"/>
        <v>50312</v>
      </c>
      <c r="Z29" s="11">
        <v>0</v>
      </c>
      <c r="AA29" s="13">
        <f>ROUND(X29+Y29+Z29,0)+2</f>
        <v>230000</v>
      </c>
      <c r="AB29" s="13" t="str">
        <f t="shared" si="11"/>
        <v>C</v>
      </c>
      <c r="AC29" s="15">
        <f>IF(AB29="A",VLOOKUP($G29,'[1]Price Components'!$B:$AC,7,0),IF(AB29="B",VLOOKUP($G29,'[1]Price Components'!$B:$AC,8,0),IF(AB29="C",VLOOKUP($G29,'[1]Price Components'!$B:$AC,9,0),IF(AB29="E",15%,IF(AB29="D",VLOOKUP($G29,'[1]Price Components'!$B:$AC,10,0))))))</f>
        <v>0.1</v>
      </c>
      <c r="AD29" s="13">
        <f>ROUND(IF(AC29=0,VLOOKUP($G29,'[1]Price Components'!$B:$AC,11,0),IF(I29="BASIC",X29*AC29,AA29*AC29)),0)</f>
        <v>23000</v>
      </c>
      <c r="AE29" s="13">
        <f>ROUND(VLOOKUP($G29,'[1]Price Components'!$B:$AC,12,0),0)</f>
        <v>1135</v>
      </c>
      <c r="AF29" s="16">
        <f>VLOOKUP($G29,'[1]Price Components'!$B:$AC,14,0)</f>
        <v>7.92E-3</v>
      </c>
      <c r="AG29" s="16">
        <f>VLOOKUP($G29,'[1]Price Components'!$B:$AC,15,0)</f>
        <v>8.2979999999999998E-3</v>
      </c>
      <c r="AH29" s="13">
        <f t="shared" si="12"/>
        <v>1731</v>
      </c>
      <c r="AI29" s="13">
        <f t="shared" si="13"/>
        <v>7740</v>
      </c>
      <c r="AJ29" s="13">
        <f t="shared" si="14"/>
        <v>1705</v>
      </c>
      <c r="AK29" s="13">
        <f t="shared" si="15"/>
        <v>11176</v>
      </c>
      <c r="AL29" s="13">
        <f t="shared" si="16"/>
        <v>265311</v>
      </c>
      <c r="AM29" s="17"/>
      <c r="AN29" s="18">
        <v>230000</v>
      </c>
      <c r="AO29" s="18">
        <f t="shared" si="17"/>
        <v>0</v>
      </c>
      <c r="AP29" s="18"/>
    </row>
    <row r="30" spans="1:42" ht="15.75" customHeight="1" x14ac:dyDescent="0.3">
      <c r="A30" s="7"/>
      <c r="B30" s="7"/>
      <c r="C30" s="7" t="str">
        <f t="shared" si="0"/>
        <v>VBFV60DN05</v>
      </c>
      <c r="D30" s="7" t="s">
        <v>44</v>
      </c>
      <c r="E30" s="7"/>
      <c r="F30" s="8">
        <v>350</v>
      </c>
      <c r="G30" s="9" t="s">
        <v>48</v>
      </c>
      <c r="H30" s="7" t="str">
        <f>VLOOKUP(G30,'[1]Price Components'!B:C,2,0)</f>
        <v>Goa</v>
      </c>
      <c r="I30" s="7" t="str">
        <f>VLOOKUP(G30,'[1]Price Components'!B:D,3,0)</f>
        <v>EX-SHOWROOM</v>
      </c>
      <c r="J30" s="10">
        <f t="shared" si="1"/>
        <v>4.250169738902309E-2</v>
      </c>
      <c r="K30" s="11">
        <v>166757</v>
      </c>
      <c r="L30" s="12">
        <f t="shared" si="2"/>
        <v>642.00541925503057</v>
      </c>
      <c r="M30" s="11">
        <v>167399.00541925503</v>
      </c>
      <c r="N30" s="8">
        <v>1279</v>
      </c>
      <c r="O30" s="13">
        <f>VLOOKUP(G30,'[1]Price Components'!B:E,4,0)</f>
        <v>470</v>
      </c>
      <c r="P30" s="13">
        <f t="shared" si="3"/>
        <v>169148</v>
      </c>
      <c r="Q30" s="14">
        <f>ROUND(IF(F30&lt;500,VLOOKUP(G30,'[1]Price Components'!B:G,5,0),VLOOKUP(G30,'[1]Price Components'!B:G,6,0)),2)</f>
        <v>1045</v>
      </c>
      <c r="R30" s="11">
        <f t="shared" si="4"/>
        <v>9202</v>
      </c>
      <c r="S30" s="13">
        <v>0</v>
      </c>
      <c r="T30" s="11">
        <f t="shared" si="5"/>
        <v>9202</v>
      </c>
      <c r="U30" s="11">
        <v>292</v>
      </c>
      <c r="V30" s="13">
        <f t="shared" si="6"/>
        <v>9494</v>
      </c>
      <c r="W30" s="13">
        <f t="shared" si="7"/>
        <v>216509</v>
      </c>
      <c r="X30" s="13">
        <f t="shared" si="8"/>
        <v>179687</v>
      </c>
      <c r="Y30" s="13">
        <f t="shared" si="9"/>
        <v>50312</v>
      </c>
      <c r="Z30" s="11">
        <v>0</v>
      </c>
      <c r="AA30" s="13">
        <f>ROUND(X30+Y30+Z30,0)+1</f>
        <v>230000</v>
      </c>
      <c r="AB30" s="13" t="str">
        <f t="shared" si="11"/>
        <v>C</v>
      </c>
      <c r="AC30" s="15">
        <f>IF(AB30="A",VLOOKUP($G30,'[1]Price Components'!$B:$AC,7,0),IF(AB30="B",VLOOKUP($G30,'[1]Price Components'!$B:$AC,8,0),IF(AB30="C",VLOOKUP($G30,'[1]Price Components'!$B:$AC,9,0),IF(AB30="E",15%,IF(AB30="D",VLOOKUP($G30,'[1]Price Components'!$B:$AC,10,0))))))</f>
        <v>0.12</v>
      </c>
      <c r="AD30" s="13">
        <f>ROUND(IF(AC30=0,VLOOKUP($G30,'[1]Price Components'!$B:$AC,11,0),IF(I30="BASIC",X30*AC30,AA30*AC30)),0)</f>
        <v>27600</v>
      </c>
      <c r="AE30" s="13">
        <f>ROUND(VLOOKUP($G30,'[1]Price Components'!$B:$AC,12,0),0)</f>
        <v>680</v>
      </c>
      <c r="AF30" s="16">
        <f>VLOOKUP($G30,'[1]Price Components'!$B:$AC,14,0)</f>
        <v>7.92E-3</v>
      </c>
      <c r="AG30" s="16">
        <f>VLOOKUP($G30,'[1]Price Components'!$B:$AC,15,0)</f>
        <v>8.2979999999999998E-3</v>
      </c>
      <c r="AH30" s="13">
        <f t="shared" si="12"/>
        <v>1731</v>
      </c>
      <c r="AI30" s="13">
        <f t="shared" si="13"/>
        <v>7740</v>
      </c>
      <c r="AJ30" s="13">
        <f t="shared" si="14"/>
        <v>1705</v>
      </c>
      <c r="AK30" s="13">
        <f t="shared" si="15"/>
        <v>11176</v>
      </c>
      <c r="AL30" s="13">
        <f t="shared" si="16"/>
        <v>269456</v>
      </c>
      <c r="AM30" s="17"/>
      <c r="AN30" s="18">
        <f>230000</f>
        <v>230000</v>
      </c>
      <c r="AO30" s="18">
        <f t="shared" si="17"/>
        <v>0</v>
      </c>
      <c r="AP30" s="18"/>
    </row>
    <row r="31" spans="1:42" ht="15.75" customHeight="1" x14ac:dyDescent="0.3">
      <c r="A31" s="7"/>
      <c r="B31" s="7"/>
      <c r="C31" s="7" t="str">
        <f t="shared" si="0"/>
        <v>VBFV60RR05</v>
      </c>
      <c r="D31" s="7" t="s">
        <v>37</v>
      </c>
      <c r="E31" s="7"/>
      <c r="F31" s="8">
        <v>350</v>
      </c>
      <c r="G31" s="9" t="s">
        <v>48</v>
      </c>
      <c r="H31" s="7" t="str">
        <f>VLOOKUP(G31,'[1]Price Components'!B:C,2,0)</f>
        <v>Goa</v>
      </c>
      <c r="I31" s="7" t="str">
        <f>VLOOKUP(G31,'[1]Price Components'!B:D,3,0)</f>
        <v>EX-SHOWROOM</v>
      </c>
      <c r="J31" s="10">
        <f t="shared" si="1"/>
        <v>4.2498294097577619E-2</v>
      </c>
      <c r="K31" s="11">
        <v>144158</v>
      </c>
      <c r="L31" s="12">
        <f t="shared" si="2"/>
        <v>642.67596632690402</v>
      </c>
      <c r="M31" s="11">
        <v>144800.6759663269</v>
      </c>
      <c r="N31" s="8">
        <v>1279</v>
      </c>
      <c r="O31" s="13">
        <f>VLOOKUP(G31,'[1]Price Components'!B:E,4,0)</f>
        <v>470</v>
      </c>
      <c r="P31" s="13">
        <f t="shared" si="3"/>
        <v>146550</v>
      </c>
      <c r="Q31" s="14">
        <f>ROUND(IF(F31&lt;500,VLOOKUP(G31,'[1]Price Components'!B:G,5,0),VLOOKUP(G31,'[1]Price Components'!B:G,6,0)),2)</f>
        <v>1045</v>
      </c>
      <c r="R31" s="11">
        <f t="shared" si="4"/>
        <v>7972</v>
      </c>
      <c r="S31" s="13">
        <v>0</v>
      </c>
      <c r="T31" s="11">
        <f t="shared" si="5"/>
        <v>7972</v>
      </c>
      <c r="U31" s="11">
        <v>292</v>
      </c>
      <c r="V31" s="13">
        <f t="shared" si="6"/>
        <v>8264</v>
      </c>
      <c r="W31" s="13">
        <f t="shared" si="7"/>
        <v>187584</v>
      </c>
      <c r="X31" s="13">
        <f t="shared" si="8"/>
        <v>155859</v>
      </c>
      <c r="Y31" s="13">
        <f t="shared" si="9"/>
        <v>43641</v>
      </c>
      <c r="Z31" s="11">
        <v>0</v>
      </c>
      <c r="AA31" s="13">
        <f t="shared" ref="AA31:AA42" si="24">ROUND(X31+Y31+Z31,0)</f>
        <v>199500</v>
      </c>
      <c r="AB31" s="13" t="str">
        <f t="shared" si="11"/>
        <v>B</v>
      </c>
      <c r="AC31" s="15">
        <f>IF(AB31="A",VLOOKUP($G31,'[1]Price Components'!$B:$AC,7,0),IF(AB31="B",VLOOKUP($G31,'[1]Price Components'!$B:$AC,8,0),IF(AB31="C",VLOOKUP($G31,'[1]Price Components'!$B:$AC,9,0),IF(AB31="E",15%,IF(AB31="D",VLOOKUP($G31,'[1]Price Components'!$B:$AC,10,0))))))</f>
        <v>0.12</v>
      </c>
      <c r="AD31" s="13">
        <f>ROUND(IF(AC31=0,VLOOKUP($G31,'[1]Price Components'!$B:$AC,11,0),IF(I31="BASIC",X31*AC31,AA31*AC31)),0)</f>
        <v>23940</v>
      </c>
      <c r="AE31" s="13">
        <f>ROUND(VLOOKUP($G31,'[1]Price Components'!$B:$AC,12,0),0)</f>
        <v>680</v>
      </c>
      <c r="AF31" s="16">
        <f>VLOOKUP($G31,'[1]Price Components'!$B:$AC,14,0)</f>
        <v>7.92E-3</v>
      </c>
      <c r="AG31" s="16">
        <f>VLOOKUP($G31,'[1]Price Components'!$B:$AC,15,0)</f>
        <v>8.2979999999999998E-3</v>
      </c>
      <c r="AH31" s="13">
        <f t="shared" si="12"/>
        <v>1501</v>
      </c>
      <c r="AI31" s="13">
        <f t="shared" si="13"/>
        <v>7740</v>
      </c>
      <c r="AJ31" s="13">
        <f t="shared" si="14"/>
        <v>1663</v>
      </c>
      <c r="AK31" s="13">
        <f t="shared" si="15"/>
        <v>10904</v>
      </c>
      <c r="AL31" s="13">
        <f t="shared" si="16"/>
        <v>235024</v>
      </c>
      <c r="AM31" s="17"/>
      <c r="AN31" s="18">
        <v>199500</v>
      </c>
      <c r="AO31" s="18">
        <f t="shared" si="17"/>
        <v>0</v>
      </c>
      <c r="AP31" s="18"/>
    </row>
    <row r="32" spans="1:42" ht="15.75" customHeight="1" x14ac:dyDescent="0.3">
      <c r="A32" s="7"/>
      <c r="B32" s="7"/>
      <c r="C32" s="7" t="str">
        <f t="shared" si="0"/>
        <v>VBFV60EB05</v>
      </c>
      <c r="D32" s="7" t="s">
        <v>39</v>
      </c>
      <c r="E32" s="7"/>
      <c r="F32" s="8">
        <v>350</v>
      </c>
      <c r="G32" s="9" t="s">
        <v>48</v>
      </c>
      <c r="H32" s="7" t="str">
        <f>VLOOKUP(G32,'[1]Price Components'!B:C,2,0)</f>
        <v>Goa</v>
      </c>
      <c r="I32" s="7" t="str">
        <f>VLOOKUP(G32,'[1]Price Components'!B:D,3,0)</f>
        <v>EX-SHOWROOM</v>
      </c>
      <c r="J32" s="10">
        <f t="shared" si="1"/>
        <v>4.2498294097577619E-2</v>
      </c>
      <c r="K32" s="11">
        <v>144158</v>
      </c>
      <c r="L32" s="12">
        <f t="shared" si="2"/>
        <v>642.67596632690402</v>
      </c>
      <c r="M32" s="11">
        <v>144800.6759663269</v>
      </c>
      <c r="N32" s="8">
        <v>1279</v>
      </c>
      <c r="O32" s="13">
        <f>VLOOKUP(G32,'[1]Price Components'!B:E,4,0)</f>
        <v>470</v>
      </c>
      <c r="P32" s="13">
        <f t="shared" si="3"/>
        <v>146550</v>
      </c>
      <c r="Q32" s="14">
        <f>ROUND(IF(F32&lt;500,VLOOKUP(G32,'[1]Price Components'!B:G,5,0),VLOOKUP(G32,'[1]Price Components'!B:G,6,0)),2)</f>
        <v>1045</v>
      </c>
      <c r="R32" s="11">
        <f t="shared" si="4"/>
        <v>7972</v>
      </c>
      <c r="S32" s="13">
        <v>0</v>
      </c>
      <c r="T32" s="11">
        <f t="shared" si="5"/>
        <v>7972</v>
      </c>
      <c r="U32" s="11">
        <v>292</v>
      </c>
      <c r="V32" s="13">
        <f t="shared" si="6"/>
        <v>8264</v>
      </c>
      <c r="W32" s="13">
        <f t="shared" si="7"/>
        <v>187584</v>
      </c>
      <c r="X32" s="13">
        <f t="shared" si="8"/>
        <v>155859</v>
      </c>
      <c r="Y32" s="13">
        <f t="shared" si="9"/>
        <v>43641</v>
      </c>
      <c r="Z32" s="11">
        <v>0</v>
      </c>
      <c r="AA32" s="13">
        <f t="shared" si="24"/>
        <v>199500</v>
      </c>
      <c r="AB32" s="13" t="str">
        <f t="shared" si="11"/>
        <v>B</v>
      </c>
      <c r="AC32" s="15">
        <f>IF(AB32="A",VLOOKUP($G32,'[1]Price Components'!$B:$AC,7,0),IF(AB32="B",VLOOKUP($G32,'[1]Price Components'!$B:$AC,8,0),IF(AB32="C",VLOOKUP($G32,'[1]Price Components'!$B:$AC,9,0),IF(AB32="E",15%,IF(AB32="D",VLOOKUP($G32,'[1]Price Components'!$B:$AC,10,0))))))</f>
        <v>0.12</v>
      </c>
      <c r="AD32" s="13">
        <f>ROUND(IF(AC32=0,VLOOKUP($G32,'[1]Price Components'!$B:$AC,11,0),IF(I32="BASIC",X32*AC32,AA32*AC32)),0)</f>
        <v>23940</v>
      </c>
      <c r="AE32" s="13">
        <f>ROUND(VLOOKUP($G32,'[1]Price Components'!$B:$AC,12,0),0)</f>
        <v>680</v>
      </c>
      <c r="AF32" s="16">
        <f>VLOOKUP($G32,'[1]Price Components'!$B:$AC,14,0)</f>
        <v>7.92E-3</v>
      </c>
      <c r="AG32" s="16">
        <f>VLOOKUP($G32,'[1]Price Components'!$B:$AC,15,0)</f>
        <v>8.2979999999999998E-3</v>
      </c>
      <c r="AH32" s="13">
        <f t="shared" si="12"/>
        <v>1501</v>
      </c>
      <c r="AI32" s="13">
        <f t="shared" si="13"/>
        <v>7740</v>
      </c>
      <c r="AJ32" s="13">
        <f t="shared" si="14"/>
        <v>1663</v>
      </c>
      <c r="AK32" s="13">
        <f t="shared" si="15"/>
        <v>10904</v>
      </c>
      <c r="AL32" s="13">
        <f t="shared" si="16"/>
        <v>235024</v>
      </c>
      <c r="AM32" s="17"/>
      <c r="AN32" s="18">
        <v>199500</v>
      </c>
      <c r="AO32" s="18">
        <f t="shared" si="17"/>
        <v>0</v>
      </c>
      <c r="AP32" s="18"/>
    </row>
    <row r="33" spans="1:42" ht="15.75" customHeight="1" x14ac:dyDescent="0.3">
      <c r="A33" s="7"/>
      <c r="B33" s="7"/>
      <c r="C33" s="7" t="str">
        <f t="shared" si="0"/>
        <v>VBFV60HG05</v>
      </c>
      <c r="D33" s="7" t="s">
        <v>40</v>
      </c>
      <c r="E33" s="7"/>
      <c r="F33" s="8">
        <v>350</v>
      </c>
      <c r="G33" s="9" t="s">
        <v>48</v>
      </c>
      <c r="H33" s="7" t="str">
        <f>VLOOKUP(G33,'[1]Price Components'!B:C,2,0)</f>
        <v>Goa</v>
      </c>
      <c r="I33" s="7" t="str">
        <f>VLOOKUP(G33,'[1]Price Components'!B:D,3,0)</f>
        <v>EX-SHOWROOM</v>
      </c>
      <c r="J33" s="10">
        <f t="shared" si="1"/>
        <v>4.2501511581844335E-2</v>
      </c>
      <c r="K33" s="11">
        <v>147492</v>
      </c>
      <c r="L33" s="12">
        <f t="shared" si="2"/>
        <v>643.00881968860631</v>
      </c>
      <c r="M33" s="11">
        <v>148135.00881968861</v>
      </c>
      <c r="N33" s="8">
        <v>1279</v>
      </c>
      <c r="O33" s="13">
        <f>VLOOKUP(G33,'[1]Price Components'!B:E,4,0)</f>
        <v>470</v>
      </c>
      <c r="P33" s="13">
        <f t="shared" si="3"/>
        <v>149884</v>
      </c>
      <c r="Q33" s="14">
        <f>ROUND(IF(F33&lt;500,VLOOKUP(G33,'[1]Price Components'!B:G,5,0),VLOOKUP(G33,'[1]Price Components'!B:G,6,0)),2)</f>
        <v>1045</v>
      </c>
      <c r="R33" s="11">
        <f t="shared" si="4"/>
        <v>8154</v>
      </c>
      <c r="S33" s="13">
        <v>0</v>
      </c>
      <c r="T33" s="11">
        <f t="shared" si="5"/>
        <v>8154</v>
      </c>
      <c r="U33" s="11">
        <v>292</v>
      </c>
      <c r="V33" s="13">
        <f t="shared" si="6"/>
        <v>8446</v>
      </c>
      <c r="W33" s="13">
        <f t="shared" si="7"/>
        <v>191852</v>
      </c>
      <c r="X33" s="13">
        <f t="shared" si="8"/>
        <v>159375</v>
      </c>
      <c r="Y33" s="13">
        <f t="shared" si="9"/>
        <v>44625</v>
      </c>
      <c r="Z33" s="11">
        <v>0</v>
      </c>
      <c r="AA33" s="13">
        <f t="shared" si="24"/>
        <v>204000</v>
      </c>
      <c r="AB33" s="13" t="str">
        <f t="shared" si="11"/>
        <v>C</v>
      </c>
      <c r="AC33" s="15">
        <f>IF(AB33="A",VLOOKUP($G33,'[1]Price Components'!$B:$AC,7,0),IF(AB33="B",VLOOKUP($G33,'[1]Price Components'!$B:$AC,8,0),IF(AB33="C",VLOOKUP($G33,'[1]Price Components'!$B:$AC,9,0),IF(AB33="E",15%,IF(AB33="D",VLOOKUP($G33,'[1]Price Components'!$B:$AC,10,0))))))</f>
        <v>0.12</v>
      </c>
      <c r="AD33" s="13">
        <f>ROUND(IF(AC33=0,VLOOKUP($G33,'[1]Price Components'!$B:$AC,11,0),IF(I33="BASIC",X33*AC33,AA33*AC33)),0)</f>
        <v>24480</v>
      </c>
      <c r="AE33" s="13">
        <f>ROUND(VLOOKUP($G33,'[1]Price Components'!$B:$AC,12,0),0)</f>
        <v>680</v>
      </c>
      <c r="AF33" s="16">
        <f>VLOOKUP($G33,'[1]Price Components'!$B:$AC,14,0)</f>
        <v>7.92E-3</v>
      </c>
      <c r="AG33" s="16">
        <f>VLOOKUP($G33,'[1]Price Components'!$B:$AC,15,0)</f>
        <v>8.2979999999999998E-3</v>
      </c>
      <c r="AH33" s="13">
        <f t="shared" si="12"/>
        <v>1535</v>
      </c>
      <c r="AI33" s="13">
        <f t="shared" si="13"/>
        <v>7740</v>
      </c>
      <c r="AJ33" s="13">
        <f t="shared" si="14"/>
        <v>1670</v>
      </c>
      <c r="AK33" s="13">
        <f t="shared" si="15"/>
        <v>10945</v>
      </c>
      <c r="AL33" s="13">
        <f t="shared" si="16"/>
        <v>240105</v>
      </c>
      <c r="AM33" s="17"/>
      <c r="AN33" s="18">
        <v>204000</v>
      </c>
      <c r="AO33" s="18">
        <f t="shared" si="17"/>
        <v>0</v>
      </c>
      <c r="AP33" s="18"/>
    </row>
    <row r="34" spans="1:42" ht="15.75" customHeight="1" x14ac:dyDescent="0.3">
      <c r="A34" s="7"/>
      <c r="B34" s="7"/>
      <c r="C34" s="7" t="str">
        <f t="shared" si="0"/>
        <v>VBFV60SE05</v>
      </c>
      <c r="D34" s="7" t="s">
        <v>41</v>
      </c>
      <c r="E34" s="7"/>
      <c r="F34" s="8">
        <v>350</v>
      </c>
      <c r="G34" s="9" t="s">
        <v>48</v>
      </c>
      <c r="H34" s="7" t="str">
        <f>VLOOKUP(G34,'[1]Price Components'!B:C,2,0)</f>
        <v>Goa</v>
      </c>
      <c r="I34" s="7" t="str">
        <f>VLOOKUP(G34,'[1]Price Components'!B:D,3,0)</f>
        <v>EX-SHOWROOM</v>
      </c>
      <c r="J34" s="10">
        <f t="shared" si="1"/>
        <v>4.249801951454734E-2</v>
      </c>
      <c r="K34" s="11">
        <v>156384</v>
      </c>
      <c r="L34" s="12">
        <f t="shared" si="2"/>
        <v>642.71454545453889</v>
      </c>
      <c r="M34" s="11">
        <v>157026.71454545454</v>
      </c>
      <c r="N34" s="8">
        <v>1279</v>
      </c>
      <c r="O34" s="13">
        <f>VLOOKUP(G34,'[1]Price Components'!B:E,4,0)</f>
        <v>470</v>
      </c>
      <c r="P34" s="13">
        <f t="shared" si="3"/>
        <v>158776</v>
      </c>
      <c r="Q34" s="14">
        <f>ROUND(IF(F34&lt;500,VLOOKUP(G34,'[1]Price Components'!B:G,5,0),VLOOKUP(G34,'[1]Price Components'!B:G,6,0)),2)</f>
        <v>1045</v>
      </c>
      <c r="R34" s="11">
        <f t="shared" si="4"/>
        <v>8637</v>
      </c>
      <c r="S34" s="13">
        <v>0</v>
      </c>
      <c r="T34" s="11">
        <f t="shared" si="5"/>
        <v>8637</v>
      </c>
      <c r="U34" s="11">
        <v>292</v>
      </c>
      <c r="V34" s="13">
        <f t="shared" si="6"/>
        <v>8929</v>
      </c>
      <c r="W34" s="13">
        <f t="shared" si="7"/>
        <v>203233</v>
      </c>
      <c r="X34" s="13">
        <f t="shared" si="8"/>
        <v>168750</v>
      </c>
      <c r="Y34" s="13">
        <f t="shared" si="9"/>
        <v>47250</v>
      </c>
      <c r="Z34" s="11">
        <v>0</v>
      </c>
      <c r="AA34" s="13">
        <f t="shared" si="24"/>
        <v>216000</v>
      </c>
      <c r="AB34" s="13" t="str">
        <f t="shared" si="11"/>
        <v>C</v>
      </c>
      <c r="AC34" s="15">
        <f>IF(AB34="A",VLOOKUP($G34,'[1]Price Components'!$B:$AC,7,0),IF(AB34="B",VLOOKUP($G34,'[1]Price Components'!$B:$AC,8,0),IF(AB34="C",VLOOKUP($G34,'[1]Price Components'!$B:$AC,9,0),IF(AB34="E",15%,IF(AB34="D",VLOOKUP($G34,'[1]Price Components'!$B:$AC,10,0))))))</f>
        <v>0.12</v>
      </c>
      <c r="AD34" s="13">
        <f>ROUND(IF(AC34=0,VLOOKUP($G34,'[1]Price Components'!$B:$AC,11,0),IF(I34="BASIC",X34*AC34,AA34*AC34)),0)</f>
        <v>25920</v>
      </c>
      <c r="AE34" s="13">
        <f>ROUND(VLOOKUP($G34,'[1]Price Components'!$B:$AC,12,0),0)</f>
        <v>680</v>
      </c>
      <c r="AF34" s="16">
        <f>VLOOKUP($G34,'[1]Price Components'!$B:$AC,14,0)</f>
        <v>7.92E-3</v>
      </c>
      <c r="AG34" s="16">
        <f>VLOOKUP($G34,'[1]Price Components'!$B:$AC,15,0)</f>
        <v>8.2979999999999998E-3</v>
      </c>
      <c r="AH34" s="13">
        <f t="shared" si="12"/>
        <v>1625</v>
      </c>
      <c r="AI34" s="13">
        <f t="shared" si="13"/>
        <v>7740</v>
      </c>
      <c r="AJ34" s="13">
        <f t="shared" si="14"/>
        <v>1686</v>
      </c>
      <c r="AK34" s="13">
        <f t="shared" si="15"/>
        <v>11051</v>
      </c>
      <c r="AL34" s="13">
        <f t="shared" si="16"/>
        <v>253651</v>
      </c>
      <c r="AM34" s="17"/>
      <c r="AN34" s="18">
        <v>216000</v>
      </c>
      <c r="AO34" s="18">
        <f t="shared" si="17"/>
        <v>0</v>
      </c>
      <c r="AP34" s="18"/>
    </row>
    <row r="35" spans="1:42" ht="15.75" customHeight="1" x14ac:dyDescent="0.3">
      <c r="A35" s="7"/>
      <c r="B35" s="7"/>
      <c r="C35" s="7" t="str">
        <f t="shared" si="0"/>
        <v>VBFV60GM05</v>
      </c>
      <c r="D35" s="7" t="s">
        <v>42</v>
      </c>
      <c r="E35" s="7"/>
      <c r="F35" s="8">
        <v>350</v>
      </c>
      <c r="G35" s="9" t="s">
        <v>48</v>
      </c>
      <c r="H35" s="7" t="str">
        <f>VLOOKUP(G35,'[1]Price Components'!B:C,2,0)</f>
        <v>Goa</v>
      </c>
      <c r="I35" s="7" t="str">
        <f>VLOOKUP(G35,'[1]Price Components'!B:D,3,0)</f>
        <v>EX-SHOWROOM</v>
      </c>
      <c r="J35" s="10">
        <f t="shared" si="1"/>
        <v>4.2499338899172678E-2</v>
      </c>
      <c r="K35" s="11">
        <v>163052</v>
      </c>
      <c r="L35" s="12">
        <f t="shared" si="2"/>
        <v>643.02197183098178</v>
      </c>
      <c r="M35" s="11">
        <v>163695.02197183098</v>
      </c>
      <c r="N35" s="8">
        <v>1279</v>
      </c>
      <c r="O35" s="13">
        <f>VLOOKUP(G35,'[1]Price Components'!B:E,4,0)</f>
        <v>470</v>
      </c>
      <c r="P35" s="13">
        <f t="shared" si="3"/>
        <v>165444</v>
      </c>
      <c r="Q35" s="14">
        <f>ROUND(IF(F35&lt;500,VLOOKUP(G35,'[1]Price Components'!B:G,5,0),VLOOKUP(G35,'[1]Price Components'!B:G,6,0)),2)</f>
        <v>1045</v>
      </c>
      <c r="R35" s="11">
        <f t="shared" si="4"/>
        <v>9000</v>
      </c>
      <c r="S35" s="13">
        <v>0</v>
      </c>
      <c r="T35" s="11">
        <f t="shared" si="5"/>
        <v>9000</v>
      </c>
      <c r="U35" s="11">
        <v>292</v>
      </c>
      <c r="V35" s="13">
        <f t="shared" si="6"/>
        <v>9292</v>
      </c>
      <c r="W35" s="13">
        <f t="shared" si="7"/>
        <v>211768</v>
      </c>
      <c r="X35" s="13">
        <f t="shared" si="8"/>
        <v>175781</v>
      </c>
      <c r="Y35" s="13">
        <f t="shared" si="9"/>
        <v>49219</v>
      </c>
      <c r="Z35" s="11">
        <v>0</v>
      </c>
      <c r="AA35" s="13">
        <f t="shared" si="24"/>
        <v>225000</v>
      </c>
      <c r="AB35" s="13" t="str">
        <f t="shared" si="11"/>
        <v>C</v>
      </c>
      <c r="AC35" s="15">
        <f>IF(AB35="A",VLOOKUP($G35,'[1]Price Components'!$B:$AC,7,0),IF(AB35="B",VLOOKUP($G35,'[1]Price Components'!$B:$AC,8,0),IF(AB35="C",VLOOKUP($G35,'[1]Price Components'!$B:$AC,9,0),IF(AB35="E",15%,IF(AB35="D",VLOOKUP($G35,'[1]Price Components'!$B:$AC,10,0))))))</f>
        <v>0.12</v>
      </c>
      <c r="AD35" s="13">
        <f>ROUND(IF(AC35=0,VLOOKUP($G35,'[1]Price Components'!$B:$AC,11,0),IF(I35="BASIC",X35*AC35,AA35*AC35)),0)</f>
        <v>27000</v>
      </c>
      <c r="AE35" s="13">
        <f>ROUND(VLOOKUP($G35,'[1]Price Components'!$B:$AC,12,0),0)</f>
        <v>680</v>
      </c>
      <c r="AF35" s="16">
        <f>VLOOKUP($G35,'[1]Price Components'!$B:$AC,14,0)</f>
        <v>7.92E-3</v>
      </c>
      <c r="AG35" s="16">
        <f>VLOOKUP($G35,'[1]Price Components'!$B:$AC,15,0)</f>
        <v>8.2979999999999998E-3</v>
      </c>
      <c r="AH35" s="13">
        <f t="shared" si="12"/>
        <v>1693</v>
      </c>
      <c r="AI35" s="13">
        <f t="shared" si="13"/>
        <v>7740</v>
      </c>
      <c r="AJ35" s="13">
        <f t="shared" si="14"/>
        <v>1698</v>
      </c>
      <c r="AK35" s="13">
        <f t="shared" si="15"/>
        <v>11131</v>
      </c>
      <c r="AL35" s="13">
        <f t="shared" si="16"/>
        <v>263811</v>
      </c>
      <c r="AM35" s="17"/>
      <c r="AN35" s="18">
        <v>225000</v>
      </c>
      <c r="AO35" s="18">
        <f t="shared" si="17"/>
        <v>0</v>
      </c>
      <c r="AP35" s="18"/>
    </row>
    <row r="36" spans="1:42" ht="15.75" customHeight="1" x14ac:dyDescent="0.3">
      <c r="A36" s="7"/>
      <c r="B36" s="7"/>
      <c r="C36" s="7" t="str">
        <f t="shared" si="0"/>
        <v>VBFV60SB05</v>
      </c>
      <c r="D36" s="7" t="s">
        <v>43</v>
      </c>
      <c r="E36" s="7"/>
      <c r="F36" s="8">
        <v>350</v>
      </c>
      <c r="G36" s="9" t="s">
        <v>48</v>
      </c>
      <c r="H36" s="7" t="str">
        <f>VLOOKUP(G36,'[1]Price Components'!B:C,2,0)</f>
        <v>Goa</v>
      </c>
      <c r="I36" s="7" t="str">
        <f>VLOOKUP(G36,'[1]Price Components'!B:D,3,0)</f>
        <v>EX-SHOWROOM</v>
      </c>
      <c r="J36" s="10">
        <f t="shared" si="1"/>
        <v>4.2499338899172678E-2</v>
      </c>
      <c r="K36" s="11">
        <v>163052</v>
      </c>
      <c r="L36" s="12">
        <f t="shared" si="2"/>
        <v>643.02197183098178</v>
      </c>
      <c r="M36" s="11">
        <v>163695.02197183098</v>
      </c>
      <c r="N36" s="8">
        <v>1279</v>
      </c>
      <c r="O36" s="13">
        <f>VLOOKUP(G36,'[1]Price Components'!B:E,4,0)</f>
        <v>470</v>
      </c>
      <c r="P36" s="13">
        <f t="shared" si="3"/>
        <v>165444</v>
      </c>
      <c r="Q36" s="14">
        <f>ROUND(IF(F36&lt;500,VLOOKUP(G36,'[1]Price Components'!B:G,5,0),VLOOKUP(G36,'[1]Price Components'!B:G,6,0)),2)</f>
        <v>1045</v>
      </c>
      <c r="R36" s="11">
        <f t="shared" si="4"/>
        <v>9000</v>
      </c>
      <c r="S36" s="13">
        <v>0</v>
      </c>
      <c r="T36" s="11">
        <f t="shared" si="5"/>
        <v>9000</v>
      </c>
      <c r="U36" s="11">
        <v>292</v>
      </c>
      <c r="V36" s="13">
        <f t="shared" si="6"/>
        <v>9292</v>
      </c>
      <c r="W36" s="13">
        <f t="shared" si="7"/>
        <v>211768</v>
      </c>
      <c r="X36" s="13">
        <f t="shared" si="8"/>
        <v>175781</v>
      </c>
      <c r="Y36" s="13">
        <f t="shared" si="9"/>
        <v>49219</v>
      </c>
      <c r="Z36" s="11">
        <v>0</v>
      </c>
      <c r="AA36" s="13">
        <f t="shared" si="24"/>
        <v>225000</v>
      </c>
      <c r="AB36" s="13" t="str">
        <f t="shared" si="11"/>
        <v>C</v>
      </c>
      <c r="AC36" s="15">
        <f>IF(AB36="A",VLOOKUP($G36,'[1]Price Components'!$B:$AC,7,0),IF(AB36="B",VLOOKUP($G36,'[1]Price Components'!$B:$AC,8,0),IF(AB36="C",VLOOKUP($G36,'[1]Price Components'!$B:$AC,9,0),IF(AB36="E",15%,IF(AB36="D",VLOOKUP($G36,'[1]Price Components'!$B:$AC,10,0))))))</f>
        <v>0.12</v>
      </c>
      <c r="AD36" s="13">
        <f>ROUND(IF(AC36=0,VLOOKUP($G36,'[1]Price Components'!$B:$AC,11,0),IF(I36="BASIC",X36*AC36,AA36*AC36)),0)</f>
        <v>27000</v>
      </c>
      <c r="AE36" s="13">
        <f>ROUND(VLOOKUP($G36,'[1]Price Components'!$B:$AC,12,0),0)</f>
        <v>680</v>
      </c>
      <c r="AF36" s="16">
        <f>VLOOKUP($G36,'[1]Price Components'!$B:$AC,14,0)</f>
        <v>7.92E-3</v>
      </c>
      <c r="AG36" s="16">
        <f>VLOOKUP($G36,'[1]Price Components'!$B:$AC,15,0)</f>
        <v>8.2979999999999998E-3</v>
      </c>
      <c r="AH36" s="13">
        <f t="shared" si="12"/>
        <v>1693</v>
      </c>
      <c r="AI36" s="13">
        <f t="shared" si="13"/>
        <v>7740</v>
      </c>
      <c r="AJ36" s="13">
        <f t="shared" si="14"/>
        <v>1698</v>
      </c>
      <c r="AK36" s="13">
        <f t="shared" si="15"/>
        <v>11131</v>
      </c>
      <c r="AL36" s="13">
        <f t="shared" si="16"/>
        <v>263811</v>
      </c>
      <c r="AM36" s="17"/>
      <c r="AN36" s="18">
        <v>225000</v>
      </c>
      <c r="AO36" s="18">
        <f t="shared" si="17"/>
        <v>0</v>
      </c>
      <c r="AP36" s="18"/>
    </row>
    <row r="37" spans="1:42" ht="15.75" customHeight="1" x14ac:dyDescent="0.3">
      <c r="A37" s="7"/>
      <c r="B37" s="7"/>
      <c r="C37" s="7" t="str">
        <f t="shared" si="0"/>
        <v>VBFV60RR06</v>
      </c>
      <c r="D37" s="7" t="s">
        <v>37</v>
      </c>
      <c r="E37" s="7"/>
      <c r="F37" s="8">
        <v>350</v>
      </c>
      <c r="G37" s="9" t="s">
        <v>49</v>
      </c>
      <c r="H37" s="7" t="str">
        <f>VLOOKUP(G37,'[1]Price Components'!B:C,2,0)</f>
        <v>Gujarat</v>
      </c>
      <c r="I37" s="7" t="str">
        <f>VLOOKUP(G37,'[1]Price Components'!B:D,3,0)</f>
        <v>BASIC</v>
      </c>
      <c r="J37" s="10">
        <f t="shared" si="1"/>
        <v>4.2501028207607136E-2</v>
      </c>
      <c r="K37" s="11">
        <v>144158</v>
      </c>
      <c r="L37" s="12">
        <f t="shared" si="2"/>
        <v>-65.726920128363417</v>
      </c>
      <c r="M37" s="11">
        <v>144092.27307987164</v>
      </c>
      <c r="N37" s="8">
        <v>1279</v>
      </c>
      <c r="O37" s="13">
        <f>VLOOKUP(G37,'[1]Price Components'!B:E,4,0)</f>
        <v>894</v>
      </c>
      <c r="P37" s="13">
        <f t="shared" si="3"/>
        <v>146265</v>
      </c>
      <c r="Q37" s="14">
        <f>ROUND(IF(F37&lt;500,VLOOKUP(G37,'[1]Price Components'!B:G,5,0),VLOOKUP(G37,'[1]Price Components'!B:G,6,0)),2)</f>
        <v>1345</v>
      </c>
      <c r="R37" s="11">
        <f t="shared" si="4"/>
        <v>7957</v>
      </c>
      <c r="S37" s="13">
        <v>0</v>
      </c>
      <c r="T37" s="11">
        <f t="shared" si="5"/>
        <v>7957</v>
      </c>
      <c r="U37" s="11">
        <v>292</v>
      </c>
      <c r="V37" s="13">
        <f t="shared" si="6"/>
        <v>8249</v>
      </c>
      <c r="W37" s="13">
        <f t="shared" si="7"/>
        <v>187219</v>
      </c>
      <c r="X37" s="13">
        <f t="shared" si="8"/>
        <v>155859</v>
      </c>
      <c r="Y37" s="13">
        <f t="shared" si="9"/>
        <v>43641</v>
      </c>
      <c r="Z37" s="11">
        <v>0</v>
      </c>
      <c r="AA37" s="13">
        <f t="shared" si="24"/>
        <v>199500</v>
      </c>
      <c r="AB37" s="13" t="str">
        <f t="shared" si="11"/>
        <v>B</v>
      </c>
      <c r="AC37" s="15">
        <f>IF(AB37="A",VLOOKUP($G37,'[1]Price Components'!$B:$AC,7,0),IF(AB37="B",VLOOKUP($G37,'[1]Price Components'!$B:$AC,8,0),IF(AB37="C",VLOOKUP($G37,'[1]Price Components'!$B:$AC,9,0),IF(AB37="E",15%,IF(AB37="D",VLOOKUP($G37,'[1]Price Components'!$B:$AC,10,0))))))</f>
        <v>0.06</v>
      </c>
      <c r="AD37" s="13">
        <f>ROUND(IF(AC37=0,VLOOKUP($G37,'[1]Price Components'!$B:$AC,11,0),IF(I37="BASIC",X37*AC37,AA37*AC37)),0)</f>
        <v>9352</v>
      </c>
      <c r="AE37" s="13">
        <f>ROUND(VLOOKUP($G37,'[1]Price Components'!$B:$AC,12,0),0)</f>
        <v>700</v>
      </c>
      <c r="AF37" s="16">
        <f>VLOOKUP($G37,'[1]Price Components'!$B:$AC,14,0)</f>
        <v>7.92E-3</v>
      </c>
      <c r="AG37" s="16">
        <f>VLOOKUP($G37,'[1]Price Components'!$B:$AC,15,0)</f>
        <v>8.2979999999999998E-3</v>
      </c>
      <c r="AH37" s="13">
        <f t="shared" si="12"/>
        <v>1501</v>
      </c>
      <c r="AI37" s="13">
        <f t="shared" si="13"/>
        <v>7740</v>
      </c>
      <c r="AJ37" s="13">
        <f t="shared" si="14"/>
        <v>1663</v>
      </c>
      <c r="AK37" s="13">
        <f t="shared" si="15"/>
        <v>10904</v>
      </c>
      <c r="AL37" s="13">
        <f t="shared" si="16"/>
        <v>220456</v>
      </c>
      <c r="AM37" s="17"/>
      <c r="AN37" s="18">
        <v>199500</v>
      </c>
      <c r="AO37" s="18">
        <f t="shared" si="17"/>
        <v>0</v>
      </c>
      <c r="AP37" s="18"/>
    </row>
    <row r="38" spans="1:42" ht="15.75" customHeight="1" x14ac:dyDescent="0.3">
      <c r="A38" s="7"/>
      <c r="B38" s="7"/>
      <c r="C38" s="7" t="str">
        <f t="shared" si="0"/>
        <v>VBFV60EB06</v>
      </c>
      <c r="D38" s="7" t="s">
        <v>39</v>
      </c>
      <c r="E38" s="7"/>
      <c r="F38" s="8">
        <v>350</v>
      </c>
      <c r="G38" s="9" t="s">
        <v>49</v>
      </c>
      <c r="H38" s="7" t="str">
        <f>VLOOKUP(G38,'[1]Price Components'!B:C,2,0)</f>
        <v>Gujarat</v>
      </c>
      <c r="I38" s="7" t="str">
        <f>VLOOKUP(G38,'[1]Price Components'!B:D,3,0)</f>
        <v>BASIC</v>
      </c>
      <c r="J38" s="10">
        <f t="shared" si="1"/>
        <v>4.2501028207607136E-2</v>
      </c>
      <c r="K38" s="11">
        <v>144158</v>
      </c>
      <c r="L38" s="12">
        <f t="shared" si="2"/>
        <v>-65.726920128363417</v>
      </c>
      <c r="M38" s="11">
        <v>144092.27307987164</v>
      </c>
      <c r="N38" s="8">
        <v>1279</v>
      </c>
      <c r="O38" s="13">
        <f>VLOOKUP(G38,'[1]Price Components'!B:E,4,0)</f>
        <v>894</v>
      </c>
      <c r="P38" s="13">
        <f t="shared" si="3"/>
        <v>146265</v>
      </c>
      <c r="Q38" s="14">
        <f>ROUND(IF(F38&lt;500,VLOOKUP(G38,'[1]Price Components'!B:G,5,0),VLOOKUP(G38,'[1]Price Components'!B:G,6,0)),2)</f>
        <v>1345</v>
      </c>
      <c r="R38" s="11">
        <f t="shared" si="4"/>
        <v>7957</v>
      </c>
      <c r="S38" s="13">
        <v>0</v>
      </c>
      <c r="T38" s="11">
        <f t="shared" si="5"/>
        <v>7957</v>
      </c>
      <c r="U38" s="11">
        <v>292</v>
      </c>
      <c r="V38" s="13">
        <f t="shared" si="6"/>
        <v>8249</v>
      </c>
      <c r="W38" s="13">
        <f t="shared" si="7"/>
        <v>187219</v>
      </c>
      <c r="X38" s="13">
        <f t="shared" si="8"/>
        <v>155859</v>
      </c>
      <c r="Y38" s="13">
        <f t="shared" si="9"/>
        <v>43641</v>
      </c>
      <c r="Z38" s="11">
        <v>0</v>
      </c>
      <c r="AA38" s="13">
        <f t="shared" si="24"/>
        <v>199500</v>
      </c>
      <c r="AB38" s="13" t="str">
        <f t="shared" si="11"/>
        <v>B</v>
      </c>
      <c r="AC38" s="15">
        <f>IF(AB38="A",VLOOKUP($G38,'[1]Price Components'!$B:$AC,7,0),IF(AB38="B",VLOOKUP($G38,'[1]Price Components'!$B:$AC,8,0),IF(AB38="C",VLOOKUP($G38,'[1]Price Components'!$B:$AC,9,0),IF(AB38="E",15%,IF(AB38="D",VLOOKUP($G38,'[1]Price Components'!$B:$AC,10,0))))))</f>
        <v>0.06</v>
      </c>
      <c r="AD38" s="13">
        <f>ROUND(IF(AC38=0,VLOOKUP($G38,'[1]Price Components'!$B:$AC,11,0),IF(I38="BASIC",X38*AC38,AA38*AC38)),0)</f>
        <v>9352</v>
      </c>
      <c r="AE38" s="13">
        <f>ROUND(VLOOKUP($G38,'[1]Price Components'!$B:$AC,12,0),0)</f>
        <v>700</v>
      </c>
      <c r="AF38" s="16">
        <f>VLOOKUP($G38,'[1]Price Components'!$B:$AC,14,0)</f>
        <v>7.92E-3</v>
      </c>
      <c r="AG38" s="16">
        <f>VLOOKUP($G38,'[1]Price Components'!$B:$AC,15,0)</f>
        <v>8.2979999999999998E-3</v>
      </c>
      <c r="AH38" s="13">
        <f t="shared" si="12"/>
        <v>1501</v>
      </c>
      <c r="AI38" s="13">
        <f t="shared" si="13"/>
        <v>7740</v>
      </c>
      <c r="AJ38" s="13">
        <f t="shared" si="14"/>
        <v>1663</v>
      </c>
      <c r="AK38" s="13">
        <f t="shared" si="15"/>
        <v>10904</v>
      </c>
      <c r="AL38" s="13">
        <f t="shared" si="16"/>
        <v>220456</v>
      </c>
      <c r="AM38" s="17"/>
      <c r="AN38" s="18">
        <v>199500</v>
      </c>
      <c r="AO38" s="18">
        <f t="shared" si="17"/>
        <v>0</v>
      </c>
      <c r="AP38" s="18"/>
    </row>
    <row r="39" spans="1:42" ht="15.75" customHeight="1" x14ac:dyDescent="0.3">
      <c r="A39" s="7"/>
      <c r="B39" s="7"/>
      <c r="C39" s="7" t="str">
        <f t="shared" si="0"/>
        <v>VBFV60HG06</v>
      </c>
      <c r="D39" s="7" t="s">
        <v>40</v>
      </c>
      <c r="E39" s="7"/>
      <c r="F39" s="8">
        <v>350</v>
      </c>
      <c r="G39" s="9" t="s">
        <v>49</v>
      </c>
      <c r="H39" s="7" t="str">
        <f>VLOOKUP(G39,'[1]Price Components'!B:C,2,0)</f>
        <v>Gujarat</v>
      </c>
      <c r="I39" s="7" t="str">
        <f>VLOOKUP(G39,'[1]Price Components'!B:D,3,0)</f>
        <v>BASIC</v>
      </c>
      <c r="J39" s="10">
        <f t="shared" si="1"/>
        <v>4.2498746657754008E-2</v>
      </c>
      <c r="K39" s="11">
        <v>147492</v>
      </c>
      <c r="L39" s="12">
        <f t="shared" si="2"/>
        <v>-65.222592964826617</v>
      </c>
      <c r="M39" s="11">
        <v>147426.77740703517</v>
      </c>
      <c r="N39" s="8">
        <v>1279</v>
      </c>
      <c r="O39" s="13">
        <f>VLOOKUP(G39,'[1]Price Components'!B:E,4,0)</f>
        <v>894</v>
      </c>
      <c r="P39" s="13">
        <f t="shared" si="3"/>
        <v>149600</v>
      </c>
      <c r="Q39" s="14">
        <f>ROUND(IF(F39&lt;500,VLOOKUP(G39,'[1]Price Components'!B:G,5,0),VLOOKUP(G39,'[1]Price Components'!B:G,6,0)),2)</f>
        <v>1345</v>
      </c>
      <c r="R39" s="11">
        <f t="shared" si="4"/>
        <v>8138</v>
      </c>
      <c r="S39" s="13">
        <v>0</v>
      </c>
      <c r="T39" s="11">
        <f t="shared" si="5"/>
        <v>8138</v>
      </c>
      <c r="U39" s="11">
        <v>292</v>
      </c>
      <c r="V39" s="13">
        <f t="shared" si="6"/>
        <v>8430</v>
      </c>
      <c r="W39" s="13">
        <f t="shared" si="7"/>
        <v>191488</v>
      </c>
      <c r="X39" s="13">
        <f t="shared" si="8"/>
        <v>159375</v>
      </c>
      <c r="Y39" s="13">
        <f t="shared" si="9"/>
        <v>44625</v>
      </c>
      <c r="Z39" s="11">
        <v>0</v>
      </c>
      <c r="AA39" s="13">
        <f t="shared" si="24"/>
        <v>204000</v>
      </c>
      <c r="AB39" s="13" t="str">
        <f t="shared" si="11"/>
        <v>C</v>
      </c>
      <c r="AC39" s="15">
        <f>IF(AB39="A",VLOOKUP($G39,'[1]Price Components'!$B:$AC,7,0),IF(AB39="B",VLOOKUP($G39,'[1]Price Components'!$B:$AC,8,0),IF(AB39="C",VLOOKUP($G39,'[1]Price Components'!$B:$AC,9,0),IF(AB39="E",15%,IF(AB39="D",VLOOKUP($G39,'[1]Price Components'!$B:$AC,10,0))))))</f>
        <v>0.06</v>
      </c>
      <c r="AD39" s="13">
        <f>ROUND(IF(AC39=0,VLOOKUP($G39,'[1]Price Components'!$B:$AC,11,0),IF(I39="BASIC",X39*AC39,AA39*AC39)),0)</f>
        <v>9563</v>
      </c>
      <c r="AE39" s="13">
        <f>ROUND(VLOOKUP($G39,'[1]Price Components'!$B:$AC,12,0),0)</f>
        <v>700</v>
      </c>
      <c r="AF39" s="16">
        <f>VLOOKUP($G39,'[1]Price Components'!$B:$AC,14,0)</f>
        <v>7.92E-3</v>
      </c>
      <c r="AG39" s="16">
        <f>VLOOKUP($G39,'[1]Price Components'!$B:$AC,15,0)</f>
        <v>8.2979999999999998E-3</v>
      </c>
      <c r="AH39" s="13">
        <f t="shared" si="12"/>
        <v>1535</v>
      </c>
      <c r="AI39" s="13">
        <f t="shared" si="13"/>
        <v>7740</v>
      </c>
      <c r="AJ39" s="13">
        <f t="shared" si="14"/>
        <v>1670</v>
      </c>
      <c r="AK39" s="13">
        <f t="shared" si="15"/>
        <v>10945</v>
      </c>
      <c r="AL39" s="13">
        <f t="shared" si="16"/>
        <v>225208</v>
      </c>
      <c r="AM39" s="17"/>
      <c r="AN39" s="18">
        <v>204000</v>
      </c>
      <c r="AO39" s="18">
        <f t="shared" si="17"/>
        <v>0</v>
      </c>
      <c r="AP39" s="18"/>
    </row>
    <row r="40" spans="1:42" ht="15.75" customHeight="1" x14ac:dyDescent="0.3">
      <c r="A40" s="7"/>
      <c r="B40" s="7"/>
      <c r="C40" s="7" t="str">
        <f t="shared" si="0"/>
        <v>VBFV60SE06</v>
      </c>
      <c r="D40" s="7" t="s">
        <v>41</v>
      </c>
      <c r="E40" s="7"/>
      <c r="F40" s="8">
        <v>350</v>
      </c>
      <c r="G40" s="9" t="s">
        <v>49</v>
      </c>
      <c r="H40" s="7" t="str">
        <f>VLOOKUP(G40,'[1]Price Components'!B:C,2,0)</f>
        <v>Gujarat</v>
      </c>
      <c r="I40" s="7" t="str">
        <f>VLOOKUP(G40,'[1]Price Components'!B:D,3,0)</f>
        <v>BASIC</v>
      </c>
      <c r="J40" s="10">
        <f t="shared" si="1"/>
        <v>4.2500542224500663E-2</v>
      </c>
      <c r="K40" s="11">
        <v>156384</v>
      </c>
      <c r="L40" s="12">
        <f t="shared" si="2"/>
        <v>-65.900088165159104</v>
      </c>
      <c r="M40" s="11">
        <v>156318.09991183484</v>
      </c>
      <c r="N40" s="8">
        <v>1279</v>
      </c>
      <c r="O40" s="13">
        <f>VLOOKUP(G40,'[1]Price Components'!B:E,4,0)</f>
        <v>894</v>
      </c>
      <c r="P40" s="13">
        <f t="shared" si="3"/>
        <v>158491</v>
      </c>
      <c r="Q40" s="14">
        <f>ROUND(IF(F40&lt;500,VLOOKUP(G40,'[1]Price Components'!B:G,5,0),VLOOKUP(G40,'[1]Price Components'!B:G,6,0)),2)</f>
        <v>1345</v>
      </c>
      <c r="R40" s="11">
        <f t="shared" si="4"/>
        <v>8622</v>
      </c>
      <c r="S40" s="13">
        <v>0</v>
      </c>
      <c r="T40" s="11">
        <f t="shared" si="5"/>
        <v>8622</v>
      </c>
      <c r="U40" s="11">
        <v>292</v>
      </c>
      <c r="V40" s="13">
        <f t="shared" si="6"/>
        <v>8914</v>
      </c>
      <c r="W40" s="13">
        <f t="shared" si="7"/>
        <v>202868</v>
      </c>
      <c r="X40" s="13">
        <f t="shared" si="8"/>
        <v>168750</v>
      </c>
      <c r="Y40" s="13">
        <f t="shared" si="9"/>
        <v>47250</v>
      </c>
      <c r="Z40" s="11">
        <v>0</v>
      </c>
      <c r="AA40" s="13">
        <f t="shared" si="24"/>
        <v>216000</v>
      </c>
      <c r="AB40" s="13" t="str">
        <f t="shared" si="11"/>
        <v>C</v>
      </c>
      <c r="AC40" s="15">
        <f>IF(AB40="A",VLOOKUP($G40,'[1]Price Components'!$B:$AC,7,0),IF(AB40="B",VLOOKUP($G40,'[1]Price Components'!$B:$AC,8,0),IF(AB40="C",VLOOKUP($G40,'[1]Price Components'!$B:$AC,9,0),IF(AB40="E",15%,IF(AB40="D",VLOOKUP($G40,'[1]Price Components'!$B:$AC,10,0))))))</f>
        <v>0.06</v>
      </c>
      <c r="AD40" s="13">
        <f>ROUND(IF(AC40=0,VLOOKUP($G40,'[1]Price Components'!$B:$AC,11,0),IF(I40="BASIC",X40*AC40,AA40*AC40)),0)</f>
        <v>10125</v>
      </c>
      <c r="AE40" s="13">
        <f>ROUND(VLOOKUP($G40,'[1]Price Components'!$B:$AC,12,0),0)</f>
        <v>700</v>
      </c>
      <c r="AF40" s="16">
        <f>VLOOKUP($G40,'[1]Price Components'!$B:$AC,14,0)</f>
        <v>7.92E-3</v>
      </c>
      <c r="AG40" s="16">
        <f>VLOOKUP($G40,'[1]Price Components'!$B:$AC,15,0)</f>
        <v>8.2979999999999998E-3</v>
      </c>
      <c r="AH40" s="13">
        <f t="shared" si="12"/>
        <v>1625</v>
      </c>
      <c r="AI40" s="13">
        <f t="shared" si="13"/>
        <v>7740</v>
      </c>
      <c r="AJ40" s="13">
        <f t="shared" si="14"/>
        <v>1686</v>
      </c>
      <c r="AK40" s="13">
        <f t="shared" si="15"/>
        <v>11051</v>
      </c>
      <c r="AL40" s="13">
        <f t="shared" si="16"/>
        <v>237876</v>
      </c>
      <c r="AM40" s="17"/>
      <c r="AN40" s="18">
        <v>216000</v>
      </c>
      <c r="AO40" s="18">
        <f t="shared" si="17"/>
        <v>0</v>
      </c>
      <c r="AP40" s="18"/>
    </row>
    <row r="41" spans="1:42" ht="15.75" customHeight="1" x14ac:dyDescent="0.3">
      <c r="A41" s="7"/>
      <c r="B41" s="7"/>
      <c r="C41" s="7" t="str">
        <f t="shared" si="0"/>
        <v>VBFV60GM06</v>
      </c>
      <c r="D41" s="7" t="s">
        <v>42</v>
      </c>
      <c r="E41" s="7"/>
      <c r="F41" s="8">
        <v>350</v>
      </c>
      <c r="G41" s="9" t="s">
        <v>49</v>
      </c>
      <c r="H41" s="7" t="str">
        <f>VLOOKUP(G41,'[1]Price Components'!B:C,2,0)</f>
        <v>Gujarat</v>
      </c>
      <c r="I41" s="7" t="str">
        <f>VLOOKUP(G41,'[1]Price Components'!B:D,3,0)</f>
        <v>BASIC</v>
      </c>
      <c r="J41" s="10">
        <f t="shared" si="1"/>
        <v>4.2501560992223422E-2</v>
      </c>
      <c r="K41" s="11">
        <v>163052</v>
      </c>
      <c r="L41" s="12">
        <f t="shared" si="2"/>
        <v>-65.961594699503621</v>
      </c>
      <c r="M41" s="11">
        <v>162986.0384053005</v>
      </c>
      <c r="N41" s="8">
        <v>1279</v>
      </c>
      <c r="O41" s="13">
        <f>VLOOKUP(G41,'[1]Price Components'!B:E,4,0)</f>
        <v>894</v>
      </c>
      <c r="P41" s="13">
        <f t="shared" si="3"/>
        <v>165159</v>
      </c>
      <c r="Q41" s="14">
        <f>ROUND(IF(F41&lt;500,VLOOKUP(G41,'[1]Price Components'!B:G,5,0),VLOOKUP(G41,'[1]Price Components'!B:G,6,0)),2)</f>
        <v>1345</v>
      </c>
      <c r="R41" s="11">
        <f t="shared" si="4"/>
        <v>8985</v>
      </c>
      <c r="S41" s="13">
        <v>0</v>
      </c>
      <c r="T41" s="11">
        <f t="shared" si="5"/>
        <v>8985</v>
      </c>
      <c r="U41" s="11">
        <v>292</v>
      </c>
      <c r="V41" s="13">
        <f t="shared" si="6"/>
        <v>9277</v>
      </c>
      <c r="W41" s="13">
        <f t="shared" si="7"/>
        <v>211404</v>
      </c>
      <c r="X41" s="13">
        <f t="shared" si="8"/>
        <v>175781</v>
      </c>
      <c r="Y41" s="13">
        <f t="shared" si="9"/>
        <v>49219</v>
      </c>
      <c r="Z41" s="11">
        <v>0</v>
      </c>
      <c r="AA41" s="13">
        <f t="shared" si="24"/>
        <v>225000</v>
      </c>
      <c r="AB41" s="13" t="str">
        <f t="shared" si="11"/>
        <v>C</v>
      </c>
      <c r="AC41" s="15">
        <f>IF(AB41="A",VLOOKUP($G41,'[1]Price Components'!$B:$AC,7,0),IF(AB41="B",VLOOKUP($G41,'[1]Price Components'!$B:$AC,8,0),IF(AB41="C",VLOOKUP($G41,'[1]Price Components'!$B:$AC,9,0),IF(AB41="E",15%,IF(AB41="D",VLOOKUP($G41,'[1]Price Components'!$B:$AC,10,0))))))</f>
        <v>0.06</v>
      </c>
      <c r="AD41" s="13">
        <f>ROUND(IF(AC41=0,VLOOKUP($G41,'[1]Price Components'!$B:$AC,11,0),IF(I41="BASIC",X41*AC41,AA41*AC41)),0)</f>
        <v>10547</v>
      </c>
      <c r="AE41" s="13">
        <f>ROUND(VLOOKUP($G41,'[1]Price Components'!$B:$AC,12,0),0)</f>
        <v>700</v>
      </c>
      <c r="AF41" s="16">
        <f>VLOOKUP($G41,'[1]Price Components'!$B:$AC,14,0)</f>
        <v>7.92E-3</v>
      </c>
      <c r="AG41" s="16">
        <f>VLOOKUP($G41,'[1]Price Components'!$B:$AC,15,0)</f>
        <v>8.2979999999999998E-3</v>
      </c>
      <c r="AH41" s="13">
        <f t="shared" si="12"/>
        <v>1693</v>
      </c>
      <c r="AI41" s="13">
        <f t="shared" si="13"/>
        <v>7740</v>
      </c>
      <c r="AJ41" s="13">
        <f t="shared" si="14"/>
        <v>1698</v>
      </c>
      <c r="AK41" s="13">
        <f t="shared" si="15"/>
        <v>11131</v>
      </c>
      <c r="AL41" s="13">
        <f t="shared" si="16"/>
        <v>247378</v>
      </c>
      <c r="AM41" s="17"/>
      <c r="AN41" s="18">
        <v>225000</v>
      </c>
      <c r="AO41" s="18">
        <f t="shared" si="17"/>
        <v>0</v>
      </c>
      <c r="AP41" s="18"/>
    </row>
    <row r="42" spans="1:42" ht="15.75" customHeight="1" x14ac:dyDescent="0.3">
      <c r="A42" s="7"/>
      <c r="B42" s="7"/>
      <c r="C42" s="7" t="str">
        <f t="shared" si="0"/>
        <v>VBFV60SB06</v>
      </c>
      <c r="D42" s="7" t="s">
        <v>43</v>
      </c>
      <c r="E42" s="7"/>
      <c r="F42" s="8">
        <v>350</v>
      </c>
      <c r="G42" s="9" t="s">
        <v>49</v>
      </c>
      <c r="H42" s="7" t="str">
        <f>VLOOKUP(G42,'[1]Price Components'!B:C,2,0)</f>
        <v>Gujarat</v>
      </c>
      <c r="I42" s="7" t="str">
        <f>VLOOKUP(G42,'[1]Price Components'!B:D,3,0)</f>
        <v>BASIC</v>
      </c>
      <c r="J42" s="10">
        <f t="shared" si="1"/>
        <v>4.2501560992223422E-2</v>
      </c>
      <c r="K42" s="11">
        <v>163052</v>
      </c>
      <c r="L42" s="12">
        <f t="shared" si="2"/>
        <v>-65.961594699503621</v>
      </c>
      <c r="M42" s="11">
        <v>162986.0384053005</v>
      </c>
      <c r="N42" s="8">
        <v>1279</v>
      </c>
      <c r="O42" s="13">
        <f>VLOOKUP(G42,'[1]Price Components'!B:E,4,0)</f>
        <v>894</v>
      </c>
      <c r="P42" s="13">
        <f t="shared" si="3"/>
        <v>165159</v>
      </c>
      <c r="Q42" s="14">
        <f>ROUND(IF(F42&lt;500,VLOOKUP(G42,'[1]Price Components'!B:G,5,0),VLOOKUP(G42,'[1]Price Components'!B:G,6,0)),2)</f>
        <v>1345</v>
      </c>
      <c r="R42" s="11">
        <f t="shared" si="4"/>
        <v>8985</v>
      </c>
      <c r="S42" s="13">
        <v>0</v>
      </c>
      <c r="T42" s="11">
        <f t="shared" si="5"/>
        <v>8985</v>
      </c>
      <c r="U42" s="11">
        <v>292</v>
      </c>
      <c r="V42" s="13">
        <f t="shared" si="6"/>
        <v>9277</v>
      </c>
      <c r="W42" s="13">
        <f t="shared" si="7"/>
        <v>211404</v>
      </c>
      <c r="X42" s="13">
        <f t="shared" si="8"/>
        <v>175781</v>
      </c>
      <c r="Y42" s="13">
        <f t="shared" si="9"/>
        <v>49219</v>
      </c>
      <c r="Z42" s="11">
        <v>0</v>
      </c>
      <c r="AA42" s="13">
        <f t="shared" si="24"/>
        <v>225000</v>
      </c>
      <c r="AB42" s="13" t="str">
        <f t="shared" si="11"/>
        <v>C</v>
      </c>
      <c r="AC42" s="15">
        <f>IF(AB42="A",VLOOKUP($G42,'[1]Price Components'!$B:$AC,7,0),IF(AB42="B",VLOOKUP($G42,'[1]Price Components'!$B:$AC,8,0),IF(AB42="C",VLOOKUP($G42,'[1]Price Components'!$B:$AC,9,0),IF(AB42="E",15%,IF(AB42="D",VLOOKUP($G42,'[1]Price Components'!$B:$AC,10,0))))))</f>
        <v>0.06</v>
      </c>
      <c r="AD42" s="13">
        <f>ROUND(IF(AC42=0,VLOOKUP($G42,'[1]Price Components'!$B:$AC,11,0),IF(I42="BASIC",X42*AC42,AA42*AC42)),0)</f>
        <v>10547</v>
      </c>
      <c r="AE42" s="13">
        <f>ROUND(VLOOKUP($G42,'[1]Price Components'!$B:$AC,12,0),0)</f>
        <v>700</v>
      </c>
      <c r="AF42" s="16">
        <f>VLOOKUP($G42,'[1]Price Components'!$B:$AC,14,0)</f>
        <v>7.92E-3</v>
      </c>
      <c r="AG42" s="16">
        <f>VLOOKUP($G42,'[1]Price Components'!$B:$AC,15,0)</f>
        <v>8.2979999999999998E-3</v>
      </c>
      <c r="AH42" s="13">
        <f t="shared" si="12"/>
        <v>1693</v>
      </c>
      <c r="AI42" s="13">
        <f t="shared" si="13"/>
        <v>7740</v>
      </c>
      <c r="AJ42" s="13">
        <f t="shared" si="14"/>
        <v>1698</v>
      </c>
      <c r="AK42" s="13">
        <f t="shared" si="15"/>
        <v>11131</v>
      </c>
      <c r="AL42" s="13">
        <f t="shared" si="16"/>
        <v>247378</v>
      </c>
      <c r="AM42" s="17"/>
      <c r="AN42" s="18">
        <v>225000</v>
      </c>
      <c r="AO42" s="18">
        <f t="shared" si="17"/>
        <v>0</v>
      </c>
      <c r="AP42" s="18"/>
    </row>
    <row r="43" spans="1:42" ht="15.75" customHeight="1" x14ac:dyDescent="0.3">
      <c r="A43" s="7"/>
      <c r="B43" s="7"/>
      <c r="C43" s="7" t="str">
        <f t="shared" si="0"/>
        <v>VBFV60DN06</v>
      </c>
      <c r="D43" s="7" t="s">
        <v>44</v>
      </c>
      <c r="E43" s="7"/>
      <c r="F43" s="8">
        <v>350</v>
      </c>
      <c r="G43" s="9" t="s">
        <v>49</v>
      </c>
      <c r="H43" s="7" t="str">
        <f>VLOOKUP(G43,'[1]Price Components'!B:C,2,0)</f>
        <v>Gujarat</v>
      </c>
      <c r="I43" s="7" t="str">
        <f>VLOOKUP(G43,'[1]Price Components'!B:D,3,0)</f>
        <v>BASIC</v>
      </c>
      <c r="J43" s="10">
        <f t="shared" si="1"/>
        <v>4.2499051566996383E-2</v>
      </c>
      <c r="K43" s="11">
        <v>166757</v>
      </c>
      <c r="L43" s="12">
        <f t="shared" si="2"/>
        <v>-65.903775275393855</v>
      </c>
      <c r="M43" s="11">
        <v>166691.09622472461</v>
      </c>
      <c r="N43" s="8">
        <v>1279</v>
      </c>
      <c r="O43" s="13">
        <f>VLOOKUP(G43,'[1]Price Components'!B:E,4,0)</f>
        <v>894</v>
      </c>
      <c r="P43" s="13">
        <f t="shared" si="3"/>
        <v>168864</v>
      </c>
      <c r="Q43" s="14">
        <f>ROUND(IF(F43&lt;500,VLOOKUP(G43,'[1]Price Components'!B:G,5,0),VLOOKUP(G43,'[1]Price Components'!B:G,6,0)),2)</f>
        <v>1345</v>
      </c>
      <c r="R43" s="11">
        <f t="shared" si="4"/>
        <v>9186</v>
      </c>
      <c r="S43" s="13">
        <v>0</v>
      </c>
      <c r="T43" s="11">
        <f t="shared" si="5"/>
        <v>9186</v>
      </c>
      <c r="U43" s="11">
        <v>292</v>
      </c>
      <c r="V43" s="13">
        <f t="shared" si="6"/>
        <v>9478</v>
      </c>
      <c r="W43" s="13">
        <f t="shared" si="7"/>
        <v>216146</v>
      </c>
      <c r="X43" s="13">
        <f t="shared" si="8"/>
        <v>179687</v>
      </c>
      <c r="Y43" s="13">
        <f t="shared" si="9"/>
        <v>50312</v>
      </c>
      <c r="Z43" s="11">
        <v>0</v>
      </c>
      <c r="AA43" s="13">
        <f>ROUND(X43+Y43+Z43,0)+1</f>
        <v>230000</v>
      </c>
      <c r="AB43" s="13" t="str">
        <f t="shared" si="11"/>
        <v>C</v>
      </c>
      <c r="AC43" s="15">
        <f>IF(AB43="A",VLOOKUP($G43,'[1]Price Components'!$B:$AC,7,0),IF(AB43="B",VLOOKUP($G43,'[1]Price Components'!$B:$AC,8,0),IF(AB43="C",VLOOKUP($G43,'[1]Price Components'!$B:$AC,9,0),IF(AB43="E",15%,IF(AB43="D",VLOOKUP($G43,'[1]Price Components'!$B:$AC,10,0))))))</f>
        <v>0.06</v>
      </c>
      <c r="AD43" s="13">
        <f>ROUND(IF(AC43=0,VLOOKUP($G43,'[1]Price Components'!$B:$AC,11,0),IF(I43="BASIC",X43*AC43,AA43*AC43)),0)</f>
        <v>10781</v>
      </c>
      <c r="AE43" s="13">
        <f>ROUND(VLOOKUP($G43,'[1]Price Components'!$B:$AC,12,0),0)</f>
        <v>700</v>
      </c>
      <c r="AF43" s="16">
        <f>VLOOKUP($G43,'[1]Price Components'!$B:$AC,14,0)</f>
        <v>7.92E-3</v>
      </c>
      <c r="AG43" s="16">
        <f>VLOOKUP($G43,'[1]Price Components'!$B:$AC,15,0)</f>
        <v>8.2979999999999998E-3</v>
      </c>
      <c r="AH43" s="13">
        <f t="shared" si="12"/>
        <v>1731</v>
      </c>
      <c r="AI43" s="13">
        <f t="shared" si="13"/>
        <v>7740</v>
      </c>
      <c r="AJ43" s="13">
        <f t="shared" si="14"/>
        <v>1705</v>
      </c>
      <c r="AK43" s="13">
        <f t="shared" si="15"/>
        <v>11176</v>
      </c>
      <c r="AL43" s="13">
        <f t="shared" si="16"/>
        <v>252657</v>
      </c>
      <c r="AM43" s="17"/>
      <c r="AN43" s="18">
        <v>230000</v>
      </c>
      <c r="AO43" s="18">
        <f t="shared" si="17"/>
        <v>0</v>
      </c>
      <c r="AP43" s="18"/>
    </row>
    <row r="44" spans="1:42" ht="15.75" customHeight="1" x14ac:dyDescent="0.3">
      <c r="A44" s="7"/>
      <c r="B44" s="7"/>
      <c r="C44" s="7" t="str">
        <f t="shared" si="0"/>
        <v>VBFV60RR07</v>
      </c>
      <c r="D44" s="7" t="s">
        <v>37</v>
      </c>
      <c r="E44" s="7"/>
      <c r="F44" s="8">
        <v>350</v>
      </c>
      <c r="G44" s="9" t="s">
        <v>50</v>
      </c>
      <c r="H44" s="7" t="str">
        <f>VLOOKUP(G44,'[1]Price Components'!B:C,2,0)</f>
        <v>Haryana</v>
      </c>
      <c r="I44" s="7" t="str">
        <f>VLOOKUP(G44,'[1]Price Components'!B:D,3,0)</f>
        <v>EX-SHOWROOM</v>
      </c>
      <c r="J44" s="10">
        <f t="shared" si="1"/>
        <v>4.249793349865344E-2</v>
      </c>
      <c r="K44" s="11">
        <v>144158</v>
      </c>
      <c r="L44" s="12">
        <f t="shared" si="2"/>
        <v>268.9067988107854</v>
      </c>
      <c r="M44" s="11">
        <v>144426.90679881079</v>
      </c>
      <c r="N44" s="8">
        <v>1279</v>
      </c>
      <c r="O44" s="13">
        <f>VLOOKUP(G44,'[1]Price Components'!B:E,4,0)</f>
        <v>790</v>
      </c>
      <c r="P44" s="13">
        <f t="shared" si="3"/>
        <v>146496</v>
      </c>
      <c r="Q44" s="14">
        <f>ROUND(IF(F44&lt;500,VLOOKUP(G44,'[1]Price Components'!B:G,5,0),VLOOKUP(G44,'[1]Price Components'!B:G,6,0)),2)</f>
        <v>1102</v>
      </c>
      <c r="R44" s="11">
        <f t="shared" si="4"/>
        <v>7969</v>
      </c>
      <c r="S44" s="13">
        <v>0</v>
      </c>
      <c r="T44" s="11">
        <f t="shared" si="5"/>
        <v>7969</v>
      </c>
      <c r="U44" s="11">
        <v>292</v>
      </c>
      <c r="V44" s="13">
        <f t="shared" si="6"/>
        <v>8261</v>
      </c>
      <c r="W44" s="13">
        <f t="shared" si="7"/>
        <v>187515</v>
      </c>
      <c r="X44" s="13">
        <f t="shared" si="8"/>
        <v>155859</v>
      </c>
      <c r="Y44" s="13">
        <f t="shared" si="9"/>
        <v>43641</v>
      </c>
      <c r="Z44" s="11">
        <v>0</v>
      </c>
      <c r="AA44" s="13">
        <f t="shared" ref="AA44:AA49" si="25">ROUND(X44+Y44+Z44,0)</f>
        <v>199500</v>
      </c>
      <c r="AB44" s="13" t="str">
        <f t="shared" si="11"/>
        <v>B</v>
      </c>
      <c r="AC44" s="15">
        <f>IF(AB44="A",VLOOKUP($G44,'[1]Price Components'!$B:$AC,7,0),IF(AB44="B",VLOOKUP($G44,'[1]Price Components'!$B:$AC,8,0),IF(AB44="C",VLOOKUP($G44,'[1]Price Components'!$B:$AC,9,0),IF(AB44="E",15%,IF(AB44="D",VLOOKUP($G44,'[1]Price Components'!$B:$AC,10,0))))))</f>
        <v>0.06</v>
      </c>
      <c r="AD44" s="13">
        <f>ROUND(IF(AC44=0,VLOOKUP($G44,'[1]Price Components'!$B:$AC,11,0),IF(I44="BASIC",X44*AC44,AA44*AC44)),0)</f>
        <v>11970</v>
      </c>
      <c r="AE44" s="13">
        <f>ROUND(VLOOKUP($G44,'[1]Price Components'!$B:$AC,12,0),0)</f>
        <v>440</v>
      </c>
      <c r="AF44" s="16">
        <f>VLOOKUP($G44,'[1]Price Components'!$B:$AC,14,0)</f>
        <v>7.92E-3</v>
      </c>
      <c r="AG44" s="16">
        <f>VLOOKUP($G44,'[1]Price Components'!$B:$AC,15,0)</f>
        <v>8.2979999999999998E-3</v>
      </c>
      <c r="AH44" s="13">
        <f t="shared" si="12"/>
        <v>1501</v>
      </c>
      <c r="AI44" s="13">
        <f t="shared" si="13"/>
        <v>7740</v>
      </c>
      <c r="AJ44" s="13">
        <f t="shared" si="14"/>
        <v>1663</v>
      </c>
      <c r="AK44" s="13">
        <f t="shared" si="15"/>
        <v>10904</v>
      </c>
      <c r="AL44" s="13">
        <f t="shared" si="16"/>
        <v>222814</v>
      </c>
      <c r="AM44" s="17"/>
      <c r="AN44" s="18">
        <v>199500</v>
      </c>
      <c r="AO44" s="18">
        <f t="shared" si="17"/>
        <v>0</v>
      </c>
      <c r="AP44" s="18"/>
    </row>
    <row r="45" spans="1:42" ht="15.75" customHeight="1" x14ac:dyDescent="0.3">
      <c r="A45" s="7"/>
      <c r="B45" s="7"/>
      <c r="C45" s="7" t="str">
        <f t="shared" si="0"/>
        <v>VBFV60EB07</v>
      </c>
      <c r="D45" s="7" t="s">
        <v>39</v>
      </c>
      <c r="E45" s="7"/>
      <c r="F45" s="8">
        <v>350</v>
      </c>
      <c r="G45" s="9" t="s">
        <v>50</v>
      </c>
      <c r="H45" s="7" t="str">
        <f>VLOOKUP(G45,'[1]Price Components'!B:C,2,0)</f>
        <v>Haryana</v>
      </c>
      <c r="I45" s="7" t="str">
        <f>VLOOKUP(G45,'[1]Price Components'!B:D,3,0)</f>
        <v>EX-SHOWROOM</v>
      </c>
      <c r="J45" s="10">
        <f t="shared" si="1"/>
        <v>4.249793349865344E-2</v>
      </c>
      <c r="K45" s="11">
        <v>144158</v>
      </c>
      <c r="L45" s="12">
        <f t="shared" si="2"/>
        <v>268.9067988107854</v>
      </c>
      <c r="M45" s="11">
        <v>144426.90679881079</v>
      </c>
      <c r="N45" s="8">
        <v>1279</v>
      </c>
      <c r="O45" s="13">
        <f>VLOOKUP(G45,'[1]Price Components'!B:E,4,0)</f>
        <v>790</v>
      </c>
      <c r="P45" s="13">
        <f t="shared" si="3"/>
        <v>146496</v>
      </c>
      <c r="Q45" s="14">
        <f>ROUND(IF(F45&lt;500,VLOOKUP(G45,'[1]Price Components'!B:G,5,0),VLOOKUP(G45,'[1]Price Components'!B:G,6,0)),2)</f>
        <v>1102</v>
      </c>
      <c r="R45" s="11">
        <f t="shared" si="4"/>
        <v>7969</v>
      </c>
      <c r="S45" s="13">
        <v>0</v>
      </c>
      <c r="T45" s="11">
        <f t="shared" si="5"/>
        <v>7969</v>
      </c>
      <c r="U45" s="11">
        <v>292</v>
      </c>
      <c r="V45" s="13">
        <f t="shared" si="6"/>
        <v>8261</v>
      </c>
      <c r="W45" s="13">
        <f t="shared" si="7"/>
        <v>187515</v>
      </c>
      <c r="X45" s="13">
        <f t="shared" si="8"/>
        <v>155859</v>
      </c>
      <c r="Y45" s="13">
        <f t="shared" si="9"/>
        <v>43641</v>
      </c>
      <c r="Z45" s="11">
        <v>0</v>
      </c>
      <c r="AA45" s="13">
        <f t="shared" si="25"/>
        <v>199500</v>
      </c>
      <c r="AB45" s="13" t="str">
        <f t="shared" si="11"/>
        <v>B</v>
      </c>
      <c r="AC45" s="15">
        <f>IF(AB45="A",VLOOKUP($G45,'[1]Price Components'!$B:$AC,7,0),IF(AB45="B",VLOOKUP($G45,'[1]Price Components'!$B:$AC,8,0),IF(AB45="C",VLOOKUP($G45,'[1]Price Components'!$B:$AC,9,0),IF(AB45="E",15%,IF(AB45="D",VLOOKUP($G45,'[1]Price Components'!$B:$AC,10,0))))))</f>
        <v>0.06</v>
      </c>
      <c r="AD45" s="13">
        <f>ROUND(IF(AC45=0,VLOOKUP($G45,'[1]Price Components'!$B:$AC,11,0),IF(I45="BASIC",X45*AC45,AA45*AC45)),0)</f>
        <v>11970</v>
      </c>
      <c r="AE45" s="13">
        <f>ROUND(VLOOKUP($G45,'[1]Price Components'!$B:$AC,12,0),0)</f>
        <v>440</v>
      </c>
      <c r="AF45" s="16">
        <f>VLOOKUP($G45,'[1]Price Components'!$B:$AC,14,0)</f>
        <v>7.92E-3</v>
      </c>
      <c r="AG45" s="16">
        <f>VLOOKUP($G45,'[1]Price Components'!$B:$AC,15,0)</f>
        <v>8.2979999999999998E-3</v>
      </c>
      <c r="AH45" s="13">
        <f t="shared" si="12"/>
        <v>1501</v>
      </c>
      <c r="AI45" s="13">
        <f t="shared" si="13"/>
        <v>7740</v>
      </c>
      <c r="AJ45" s="13">
        <f t="shared" si="14"/>
        <v>1663</v>
      </c>
      <c r="AK45" s="13">
        <f t="shared" si="15"/>
        <v>10904</v>
      </c>
      <c r="AL45" s="13">
        <f t="shared" si="16"/>
        <v>222814</v>
      </c>
      <c r="AM45" s="17"/>
      <c r="AN45" s="18">
        <v>199500</v>
      </c>
      <c r="AO45" s="18">
        <f t="shared" si="17"/>
        <v>0</v>
      </c>
      <c r="AP45" s="18"/>
    </row>
    <row r="46" spans="1:42" ht="15.75" customHeight="1" x14ac:dyDescent="0.3">
      <c r="A46" s="7"/>
      <c r="B46" s="7"/>
      <c r="C46" s="7" t="str">
        <f t="shared" si="0"/>
        <v>VBFV60HG07</v>
      </c>
      <c r="D46" s="7" t="s">
        <v>40</v>
      </c>
      <c r="E46" s="7"/>
      <c r="F46" s="8">
        <v>350</v>
      </c>
      <c r="G46" s="9" t="s">
        <v>50</v>
      </c>
      <c r="H46" s="7" t="str">
        <f>VLOOKUP(G46,'[1]Price Components'!B:C,2,0)</f>
        <v>Haryana</v>
      </c>
      <c r="I46" s="7" t="str">
        <f>VLOOKUP(G46,'[1]Price Components'!B:D,3,0)</f>
        <v>EX-SHOWROOM</v>
      </c>
      <c r="J46" s="10">
        <f t="shared" si="1"/>
        <v>4.2501381777226226E-2</v>
      </c>
      <c r="K46" s="11">
        <v>147492</v>
      </c>
      <c r="L46" s="12">
        <f t="shared" si="2"/>
        <v>268.90761070576264</v>
      </c>
      <c r="M46" s="11">
        <v>147760.90761070576</v>
      </c>
      <c r="N46" s="8">
        <v>1279</v>
      </c>
      <c r="O46" s="13">
        <f>VLOOKUP(G46,'[1]Price Components'!B:E,4,0)</f>
        <v>790</v>
      </c>
      <c r="P46" s="13">
        <f t="shared" si="3"/>
        <v>149830</v>
      </c>
      <c r="Q46" s="14">
        <f>ROUND(IF(F46&lt;500,VLOOKUP(G46,'[1]Price Components'!B:G,5,0),VLOOKUP(G46,'[1]Price Components'!B:G,6,0)),2)</f>
        <v>1102</v>
      </c>
      <c r="R46" s="11">
        <f t="shared" si="4"/>
        <v>8151</v>
      </c>
      <c r="S46" s="13">
        <v>0</v>
      </c>
      <c r="T46" s="11">
        <f t="shared" si="5"/>
        <v>8151</v>
      </c>
      <c r="U46" s="11">
        <v>292</v>
      </c>
      <c r="V46" s="13">
        <f t="shared" si="6"/>
        <v>8443</v>
      </c>
      <c r="W46" s="13">
        <f t="shared" si="7"/>
        <v>191782</v>
      </c>
      <c r="X46" s="13">
        <f t="shared" si="8"/>
        <v>159375</v>
      </c>
      <c r="Y46" s="13">
        <f t="shared" si="9"/>
        <v>44625</v>
      </c>
      <c r="Z46" s="11">
        <v>0</v>
      </c>
      <c r="AA46" s="13">
        <f t="shared" si="25"/>
        <v>204000</v>
      </c>
      <c r="AB46" s="13" t="str">
        <f t="shared" si="11"/>
        <v>C</v>
      </c>
      <c r="AC46" s="15">
        <f>IF(AB46="A",VLOOKUP($G46,'[1]Price Components'!$B:$AC,7,0),IF(AB46="B",VLOOKUP($G46,'[1]Price Components'!$B:$AC,8,0),IF(AB46="C",VLOOKUP($G46,'[1]Price Components'!$B:$AC,9,0),IF(AB46="E",15%,IF(AB46="D",VLOOKUP($G46,'[1]Price Components'!$B:$AC,10,0))))))</f>
        <v>0.08</v>
      </c>
      <c r="AD46" s="13">
        <f>ROUND(IF(AC46=0,VLOOKUP($G46,'[1]Price Components'!$B:$AC,11,0),IF(I46="BASIC",X46*AC46,AA46*AC46)),0)</f>
        <v>16320</v>
      </c>
      <c r="AE46" s="13">
        <f>ROUND(VLOOKUP($G46,'[1]Price Components'!$B:$AC,12,0),0)</f>
        <v>440</v>
      </c>
      <c r="AF46" s="16">
        <f>VLOOKUP($G46,'[1]Price Components'!$B:$AC,14,0)</f>
        <v>7.92E-3</v>
      </c>
      <c r="AG46" s="16">
        <f>VLOOKUP($G46,'[1]Price Components'!$B:$AC,15,0)</f>
        <v>8.2979999999999998E-3</v>
      </c>
      <c r="AH46" s="13">
        <f t="shared" si="12"/>
        <v>1535</v>
      </c>
      <c r="AI46" s="13">
        <f t="shared" si="13"/>
        <v>7740</v>
      </c>
      <c r="AJ46" s="13">
        <f t="shared" si="14"/>
        <v>1670</v>
      </c>
      <c r="AK46" s="13">
        <f t="shared" si="15"/>
        <v>10945</v>
      </c>
      <c r="AL46" s="13">
        <f t="shared" si="16"/>
        <v>231705</v>
      </c>
      <c r="AM46" s="17"/>
      <c r="AN46" s="18">
        <v>204000</v>
      </c>
      <c r="AO46" s="18">
        <f t="shared" si="17"/>
        <v>0</v>
      </c>
      <c r="AP46" s="18"/>
    </row>
    <row r="47" spans="1:42" ht="15.75" customHeight="1" x14ac:dyDescent="0.3">
      <c r="A47" s="7"/>
      <c r="B47" s="7"/>
      <c r="C47" s="7" t="str">
        <f t="shared" si="0"/>
        <v>VBFV60SE07</v>
      </c>
      <c r="D47" s="7" t="s">
        <v>41</v>
      </c>
      <c r="E47" s="7"/>
      <c r="F47" s="8">
        <v>350</v>
      </c>
      <c r="G47" s="9" t="s">
        <v>50</v>
      </c>
      <c r="H47" s="7" t="str">
        <f>VLOOKUP(G47,'[1]Price Components'!B:C,2,0)</f>
        <v>Haryana</v>
      </c>
      <c r="I47" s="7" t="str">
        <f>VLOOKUP(G47,'[1]Price Components'!B:D,3,0)</f>
        <v>EX-SHOWROOM</v>
      </c>
      <c r="J47" s="10">
        <f t="shared" si="1"/>
        <v>4.2497686598019335E-2</v>
      </c>
      <c r="K47" s="11">
        <v>156384</v>
      </c>
      <c r="L47" s="12">
        <f t="shared" si="2"/>
        <v>269.0393487517722</v>
      </c>
      <c r="M47" s="11">
        <v>156653.03934875177</v>
      </c>
      <c r="N47" s="8">
        <v>1279</v>
      </c>
      <c r="O47" s="13">
        <f>VLOOKUP(G47,'[1]Price Components'!B:E,4,0)</f>
        <v>790</v>
      </c>
      <c r="P47" s="13">
        <f t="shared" si="3"/>
        <v>158722</v>
      </c>
      <c r="Q47" s="14">
        <f>ROUND(IF(F47&lt;500,VLOOKUP(G47,'[1]Price Components'!B:G,5,0),VLOOKUP(G47,'[1]Price Components'!B:G,6,0)),2)</f>
        <v>1102</v>
      </c>
      <c r="R47" s="11">
        <f t="shared" si="4"/>
        <v>8634</v>
      </c>
      <c r="S47" s="13">
        <v>0</v>
      </c>
      <c r="T47" s="11">
        <f t="shared" si="5"/>
        <v>8634</v>
      </c>
      <c r="U47" s="11">
        <v>292</v>
      </c>
      <c r="V47" s="13">
        <f t="shared" si="6"/>
        <v>8926</v>
      </c>
      <c r="W47" s="13">
        <f t="shared" si="7"/>
        <v>203164</v>
      </c>
      <c r="X47" s="13">
        <f t="shared" si="8"/>
        <v>168750</v>
      </c>
      <c r="Y47" s="13">
        <f t="shared" si="9"/>
        <v>47250</v>
      </c>
      <c r="Z47" s="11">
        <v>0</v>
      </c>
      <c r="AA47" s="13">
        <f t="shared" si="25"/>
        <v>216000</v>
      </c>
      <c r="AB47" s="13" t="str">
        <f t="shared" si="11"/>
        <v>C</v>
      </c>
      <c r="AC47" s="15">
        <f>IF(AB47="A",VLOOKUP($G47,'[1]Price Components'!$B:$AC,7,0),IF(AB47="B",VLOOKUP($G47,'[1]Price Components'!$B:$AC,8,0),IF(AB47="C",VLOOKUP($G47,'[1]Price Components'!$B:$AC,9,0),IF(AB47="E",15%,IF(AB47="D",VLOOKUP($G47,'[1]Price Components'!$B:$AC,10,0))))))</f>
        <v>0.08</v>
      </c>
      <c r="AD47" s="13">
        <f>ROUND(IF(AC47=0,VLOOKUP($G47,'[1]Price Components'!$B:$AC,11,0),IF(I47="BASIC",X47*AC47,AA47*AC47)),0)</f>
        <v>17280</v>
      </c>
      <c r="AE47" s="13">
        <f>ROUND(VLOOKUP($G47,'[1]Price Components'!$B:$AC,12,0),0)</f>
        <v>440</v>
      </c>
      <c r="AF47" s="16">
        <f>VLOOKUP($G47,'[1]Price Components'!$B:$AC,14,0)</f>
        <v>7.92E-3</v>
      </c>
      <c r="AG47" s="16">
        <f>VLOOKUP($G47,'[1]Price Components'!$B:$AC,15,0)</f>
        <v>8.2979999999999998E-3</v>
      </c>
      <c r="AH47" s="13">
        <f t="shared" si="12"/>
        <v>1625</v>
      </c>
      <c r="AI47" s="13">
        <f t="shared" si="13"/>
        <v>7740</v>
      </c>
      <c r="AJ47" s="13">
        <f t="shared" si="14"/>
        <v>1686</v>
      </c>
      <c r="AK47" s="13">
        <f t="shared" si="15"/>
        <v>11051</v>
      </c>
      <c r="AL47" s="13">
        <f t="shared" si="16"/>
        <v>244771</v>
      </c>
      <c r="AM47" s="17"/>
      <c r="AN47" s="18">
        <v>216000</v>
      </c>
      <c r="AO47" s="18">
        <f t="shared" si="17"/>
        <v>0</v>
      </c>
      <c r="AP47" s="18"/>
    </row>
    <row r="48" spans="1:42" ht="15.75" customHeight="1" x14ac:dyDescent="0.3">
      <c r="A48" s="7"/>
      <c r="B48" s="7"/>
      <c r="C48" s="7" t="str">
        <f t="shared" si="0"/>
        <v>VBFV60GM07</v>
      </c>
      <c r="D48" s="7" t="s">
        <v>42</v>
      </c>
      <c r="E48" s="7"/>
      <c r="F48" s="8">
        <v>350</v>
      </c>
      <c r="G48" s="9" t="s">
        <v>50</v>
      </c>
      <c r="H48" s="7" t="str">
        <f>VLOOKUP(G48,'[1]Price Components'!B:C,2,0)</f>
        <v>Haryana</v>
      </c>
      <c r="I48" s="7" t="str">
        <f>VLOOKUP(G48,'[1]Price Components'!B:D,3,0)</f>
        <v>EX-SHOWROOM</v>
      </c>
      <c r="J48" s="10">
        <f t="shared" si="1"/>
        <v>4.2499019834765395E-2</v>
      </c>
      <c r="K48" s="11">
        <v>163052</v>
      </c>
      <c r="L48" s="12">
        <f t="shared" si="2"/>
        <v>268.91356656065909</v>
      </c>
      <c r="M48" s="11">
        <v>163320.91356656066</v>
      </c>
      <c r="N48" s="8">
        <v>1279</v>
      </c>
      <c r="O48" s="13">
        <f>VLOOKUP(G48,'[1]Price Components'!B:E,4,0)</f>
        <v>790</v>
      </c>
      <c r="P48" s="13">
        <f t="shared" si="3"/>
        <v>165390</v>
      </c>
      <c r="Q48" s="14">
        <f>ROUND(IF(F48&lt;500,VLOOKUP(G48,'[1]Price Components'!B:G,5,0),VLOOKUP(G48,'[1]Price Components'!B:G,6,0)),2)</f>
        <v>1102</v>
      </c>
      <c r="R48" s="11">
        <f t="shared" si="4"/>
        <v>8997</v>
      </c>
      <c r="S48" s="13">
        <v>0</v>
      </c>
      <c r="T48" s="11">
        <f t="shared" si="5"/>
        <v>8997</v>
      </c>
      <c r="U48" s="11">
        <v>292</v>
      </c>
      <c r="V48" s="13">
        <f t="shared" si="6"/>
        <v>9289</v>
      </c>
      <c r="W48" s="13">
        <f t="shared" si="7"/>
        <v>211699</v>
      </c>
      <c r="X48" s="13">
        <f t="shared" si="8"/>
        <v>175781</v>
      </c>
      <c r="Y48" s="13">
        <f t="shared" si="9"/>
        <v>49219</v>
      </c>
      <c r="Z48" s="11">
        <v>0</v>
      </c>
      <c r="AA48" s="13">
        <f t="shared" si="25"/>
        <v>225000</v>
      </c>
      <c r="AB48" s="13" t="str">
        <f t="shared" si="11"/>
        <v>C</v>
      </c>
      <c r="AC48" s="15">
        <f>IF(AB48="A",VLOOKUP($G48,'[1]Price Components'!$B:$AC,7,0),IF(AB48="B",VLOOKUP($G48,'[1]Price Components'!$B:$AC,8,0),IF(AB48="C",VLOOKUP($G48,'[1]Price Components'!$B:$AC,9,0),IF(AB48="E",15%,IF(AB48="D",VLOOKUP($G48,'[1]Price Components'!$B:$AC,10,0))))))</f>
        <v>0.08</v>
      </c>
      <c r="AD48" s="13">
        <f>ROUND(IF(AC48=0,VLOOKUP($G48,'[1]Price Components'!$B:$AC,11,0),IF(I48="BASIC",X48*AC48,AA48*AC48)),0)</f>
        <v>18000</v>
      </c>
      <c r="AE48" s="13">
        <f>ROUND(VLOOKUP($G48,'[1]Price Components'!$B:$AC,12,0),0)</f>
        <v>440</v>
      </c>
      <c r="AF48" s="16">
        <f>VLOOKUP($G48,'[1]Price Components'!$B:$AC,14,0)</f>
        <v>7.92E-3</v>
      </c>
      <c r="AG48" s="16">
        <f>VLOOKUP($G48,'[1]Price Components'!$B:$AC,15,0)</f>
        <v>8.2979999999999998E-3</v>
      </c>
      <c r="AH48" s="13">
        <f t="shared" si="12"/>
        <v>1693</v>
      </c>
      <c r="AI48" s="13">
        <f t="shared" si="13"/>
        <v>7740</v>
      </c>
      <c r="AJ48" s="13">
        <f t="shared" si="14"/>
        <v>1698</v>
      </c>
      <c r="AK48" s="13">
        <f t="shared" si="15"/>
        <v>11131</v>
      </c>
      <c r="AL48" s="13">
        <f t="shared" si="16"/>
        <v>254571</v>
      </c>
      <c r="AM48" s="17"/>
      <c r="AN48" s="18">
        <v>225000</v>
      </c>
      <c r="AO48" s="18">
        <f t="shared" si="17"/>
        <v>0</v>
      </c>
      <c r="AP48" s="18"/>
    </row>
    <row r="49" spans="1:42" ht="15.75" customHeight="1" x14ac:dyDescent="0.3">
      <c r="A49" s="7"/>
      <c r="B49" s="7"/>
      <c r="C49" s="7" t="str">
        <f t="shared" si="0"/>
        <v>VBFV60SB07</v>
      </c>
      <c r="D49" s="7" t="s">
        <v>43</v>
      </c>
      <c r="E49" s="7"/>
      <c r="F49" s="8">
        <v>350</v>
      </c>
      <c r="G49" s="9" t="s">
        <v>50</v>
      </c>
      <c r="H49" s="7" t="str">
        <f>VLOOKUP(G49,'[1]Price Components'!B:C,2,0)</f>
        <v>Haryana</v>
      </c>
      <c r="I49" s="7" t="str">
        <f>VLOOKUP(G49,'[1]Price Components'!B:D,3,0)</f>
        <v>EX-SHOWROOM</v>
      </c>
      <c r="J49" s="10">
        <f t="shared" si="1"/>
        <v>4.2499019834765395E-2</v>
      </c>
      <c r="K49" s="11">
        <v>163052</v>
      </c>
      <c r="L49" s="12">
        <f t="shared" si="2"/>
        <v>268.91356656065909</v>
      </c>
      <c r="M49" s="11">
        <v>163320.91356656066</v>
      </c>
      <c r="N49" s="8">
        <v>1279</v>
      </c>
      <c r="O49" s="13">
        <f>VLOOKUP(G49,'[1]Price Components'!B:E,4,0)</f>
        <v>790</v>
      </c>
      <c r="P49" s="13">
        <f t="shared" si="3"/>
        <v>165390</v>
      </c>
      <c r="Q49" s="14">
        <f>ROUND(IF(F49&lt;500,VLOOKUP(G49,'[1]Price Components'!B:G,5,0),VLOOKUP(G49,'[1]Price Components'!B:G,6,0)),2)</f>
        <v>1102</v>
      </c>
      <c r="R49" s="11">
        <f t="shared" si="4"/>
        <v>8997</v>
      </c>
      <c r="S49" s="13">
        <v>0</v>
      </c>
      <c r="T49" s="11">
        <f t="shared" si="5"/>
        <v>8997</v>
      </c>
      <c r="U49" s="11">
        <v>292</v>
      </c>
      <c r="V49" s="13">
        <f t="shared" si="6"/>
        <v>9289</v>
      </c>
      <c r="W49" s="13">
        <f t="shared" si="7"/>
        <v>211699</v>
      </c>
      <c r="X49" s="13">
        <f t="shared" si="8"/>
        <v>175781</v>
      </c>
      <c r="Y49" s="13">
        <f t="shared" si="9"/>
        <v>49219</v>
      </c>
      <c r="Z49" s="11">
        <v>0</v>
      </c>
      <c r="AA49" s="13">
        <f t="shared" si="25"/>
        <v>225000</v>
      </c>
      <c r="AB49" s="13" t="str">
        <f t="shared" si="11"/>
        <v>C</v>
      </c>
      <c r="AC49" s="15">
        <f>IF(AB49="A",VLOOKUP($G49,'[1]Price Components'!$B:$AC,7,0),IF(AB49="B",VLOOKUP($G49,'[1]Price Components'!$B:$AC,8,0),IF(AB49="C",VLOOKUP($G49,'[1]Price Components'!$B:$AC,9,0),IF(AB49="E",15%,IF(AB49="D",VLOOKUP($G49,'[1]Price Components'!$B:$AC,10,0))))))</f>
        <v>0.08</v>
      </c>
      <c r="AD49" s="13">
        <f>ROUND(IF(AC49=0,VLOOKUP($G49,'[1]Price Components'!$B:$AC,11,0),IF(I49="BASIC",X49*AC49,AA49*AC49)),0)</f>
        <v>18000</v>
      </c>
      <c r="AE49" s="13">
        <f>ROUND(VLOOKUP($G49,'[1]Price Components'!$B:$AC,12,0),0)</f>
        <v>440</v>
      </c>
      <c r="AF49" s="16">
        <f>VLOOKUP($G49,'[1]Price Components'!$B:$AC,14,0)</f>
        <v>7.92E-3</v>
      </c>
      <c r="AG49" s="16">
        <f>VLOOKUP($G49,'[1]Price Components'!$B:$AC,15,0)</f>
        <v>8.2979999999999998E-3</v>
      </c>
      <c r="AH49" s="13">
        <f t="shared" si="12"/>
        <v>1693</v>
      </c>
      <c r="AI49" s="13">
        <f t="shared" si="13"/>
        <v>7740</v>
      </c>
      <c r="AJ49" s="13">
        <f t="shared" si="14"/>
        <v>1698</v>
      </c>
      <c r="AK49" s="13">
        <f t="shared" si="15"/>
        <v>11131</v>
      </c>
      <c r="AL49" s="13">
        <f t="shared" si="16"/>
        <v>254571</v>
      </c>
      <c r="AM49" s="17"/>
      <c r="AN49" s="18">
        <v>225000</v>
      </c>
      <c r="AO49" s="18">
        <f t="shared" si="17"/>
        <v>0</v>
      </c>
      <c r="AP49" s="18"/>
    </row>
    <row r="50" spans="1:42" ht="15.75" customHeight="1" x14ac:dyDescent="0.3">
      <c r="A50" s="7"/>
      <c r="B50" s="7"/>
      <c r="C50" s="7" t="str">
        <f t="shared" si="0"/>
        <v>VBFV60DN07</v>
      </c>
      <c r="D50" s="7" t="s">
        <v>44</v>
      </c>
      <c r="E50" s="7"/>
      <c r="F50" s="8">
        <v>350</v>
      </c>
      <c r="G50" s="9" t="s">
        <v>50</v>
      </c>
      <c r="H50" s="7" t="str">
        <f>VLOOKUP(G50,'[1]Price Components'!B:C,2,0)</f>
        <v>Haryana</v>
      </c>
      <c r="I50" s="7" t="str">
        <f>VLOOKUP(G50,'[1]Price Components'!B:D,3,0)</f>
        <v>EX-SHOWROOM</v>
      </c>
      <c r="J50" s="10">
        <f t="shared" si="1"/>
        <v>4.2501386065422288E-2</v>
      </c>
      <c r="K50" s="11">
        <v>166757</v>
      </c>
      <c r="L50" s="12">
        <f t="shared" si="2"/>
        <v>268.05428524472518</v>
      </c>
      <c r="M50" s="11">
        <v>167025.05428524473</v>
      </c>
      <c r="N50" s="8">
        <v>1279</v>
      </c>
      <c r="O50" s="13">
        <f>VLOOKUP(G50,'[1]Price Components'!B:E,4,0)</f>
        <v>790</v>
      </c>
      <c r="P50" s="13">
        <f t="shared" si="3"/>
        <v>169094</v>
      </c>
      <c r="Q50" s="14">
        <f>ROUND(IF(F50&lt;500,VLOOKUP(G50,'[1]Price Components'!B:G,5,0),VLOOKUP(G50,'[1]Price Components'!B:G,6,0)),2)</f>
        <v>1102</v>
      </c>
      <c r="R50" s="11">
        <f t="shared" si="4"/>
        <v>9199</v>
      </c>
      <c r="S50" s="13">
        <v>0</v>
      </c>
      <c r="T50" s="11">
        <f t="shared" si="5"/>
        <v>9199</v>
      </c>
      <c r="U50" s="11">
        <v>292</v>
      </c>
      <c r="V50" s="13">
        <f t="shared" si="6"/>
        <v>9491</v>
      </c>
      <c r="W50" s="13">
        <f t="shared" si="7"/>
        <v>216440</v>
      </c>
      <c r="X50" s="13">
        <f t="shared" si="8"/>
        <v>179687</v>
      </c>
      <c r="Y50" s="13">
        <f t="shared" si="9"/>
        <v>50312</v>
      </c>
      <c r="Z50" s="11">
        <v>0</v>
      </c>
      <c r="AA50" s="13">
        <f>ROUND(X50+Y50+Z50,0)+1</f>
        <v>230000</v>
      </c>
      <c r="AB50" s="13" t="str">
        <f t="shared" si="11"/>
        <v>C</v>
      </c>
      <c r="AC50" s="15">
        <f>IF(AB50="A",VLOOKUP($G50,'[1]Price Components'!$B:$AC,7,0),IF(AB50="B",VLOOKUP($G50,'[1]Price Components'!$B:$AC,8,0),IF(AB50="C",VLOOKUP($G50,'[1]Price Components'!$B:$AC,9,0),IF(AB50="E",15%,IF(AB50="D",VLOOKUP($G50,'[1]Price Components'!$B:$AC,10,0))))))</f>
        <v>0.08</v>
      </c>
      <c r="AD50" s="13">
        <f>ROUND(IF(AC50=0,VLOOKUP($G50,'[1]Price Components'!$B:$AC,11,0),IF(I50="BASIC",X50*AC50,AA50*AC50)),0)</f>
        <v>18400</v>
      </c>
      <c r="AE50" s="13">
        <f>ROUND(VLOOKUP($G50,'[1]Price Components'!$B:$AC,12,0),0)</f>
        <v>440</v>
      </c>
      <c r="AF50" s="16">
        <f>VLOOKUP($G50,'[1]Price Components'!$B:$AC,14,0)</f>
        <v>7.92E-3</v>
      </c>
      <c r="AG50" s="16">
        <f>VLOOKUP($G50,'[1]Price Components'!$B:$AC,15,0)</f>
        <v>8.2979999999999998E-3</v>
      </c>
      <c r="AH50" s="13">
        <f t="shared" si="12"/>
        <v>1731</v>
      </c>
      <c r="AI50" s="13">
        <f t="shared" si="13"/>
        <v>7740</v>
      </c>
      <c r="AJ50" s="13">
        <f t="shared" si="14"/>
        <v>1705</v>
      </c>
      <c r="AK50" s="13">
        <f t="shared" si="15"/>
        <v>11176</v>
      </c>
      <c r="AL50" s="13">
        <f t="shared" si="16"/>
        <v>260016</v>
      </c>
      <c r="AM50" s="17"/>
      <c r="AN50" s="18">
        <v>230000</v>
      </c>
      <c r="AO50" s="18">
        <f t="shared" si="17"/>
        <v>0</v>
      </c>
      <c r="AP50" s="18"/>
    </row>
    <row r="51" spans="1:42" ht="15.75" customHeight="1" x14ac:dyDescent="0.3">
      <c r="A51" s="7"/>
      <c r="B51" s="7"/>
      <c r="C51" s="7" t="str">
        <f t="shared" si="0"/>
        <v>VBFV60RR08</v>
      </c>
      <c r="D51" s="7" t="s">
        <v>37</v>
      </c>
      <c r="E51" s="7"/>
      <c r="F51" s="8">
        <v>350</v>
      </c>
      <c r="G51" s="9" t="s">
        <v>51</v>
      </c>
      <c r="H51" s="7" t="str">
        <f>VLOOKUP(G51,'[1]Price Components'!B:C,2,0)</f>
        <v>Himachal Pradesh</v>
      </c>
      <c r="I51" s="7" t="str">
        <f>VLOOKUP(G51,'[1]Price Components'!B:D,3,0)</f>
        <v>BASIC</v>
      </c>
      <c r="J51" s="10">
        <f t="shared" si="1"/>
        <v>4.249771174354499E-2</v>
      </c>
      <c r="K51" s="11">
        <v>144158</v>
      </c>
      <c r="L51" s="12">
        <f t="shared" si="2"/>
        <v>482.00691801935318</v>
      </c>
      <c r="M51" s="11">
        <v>144640.00691801935</v>
      </c>
      <c r="N51" s="8">
        <v>1279</v>
      </c>
      <c r="O51" s="13">
        <f>VLOOKUP(G51,'[1]Price Components'!B:E,4,0)</f>
        <v>890</v>
      </c>
      <c r="P51" s="13">
        <f t="shared" si="3"/>
        <v>146809</v>
      </c>
      <c r="Q51" s="14">
        <f>ROUND(IF(F51&lt;500,VLOOKUP(G51,'[1]Price Components'!B:G,5,0),VLOOKUP(G51,'[1]Price Components'!B:G,6,0)),2)</f>
        <v>772</v>
      </c>
      <c r="R51" s="11">
        <f t="shared" si="4"/>
        <v>7986</v>
      </c>
      <c r="S51" s="13">
        <v>0</v>
      </c>
      <c r="T51" s="11">
        <f t="shared" si="5"/>
        <v>7986</v>
      </c>
      <c r="U51" s="11">
        <v>292</v>
      </c>
      <c r="V51" s="13">
        <f t="shared" si="6"/>
        <v>8278</v>
      </c>
      <c r="W51" s="13">
        <f t="shared" si="7"/>
        <v>187916</v>
      </c>
      <c r="X51" s="13">
        <f t="shared" si="8"/>
        <v>155859</v>
      </c>
      <c r="Y51" s="13">
        <f t="shared" si="9"/>
        <v>43641</v>
      </c>
      <c r="Z51" s="11">
        <v>0</v>
      </c>
      <c r="AA51" s="13">
        <f t="shared" ref="AA51:AA53" si="26">ROUND(X51+Y51+Z51,0)</f>
        <v>199500</v>
      </c>
      <c r="AB51" s="13" t="str">
        <f t="shared" si="11"/>
        <v>B</v>
      </c>
      <c r="AC51" s="15">
        <f>IF(AB51="A",VLOOKUP($G51,'[1]Price Components'!$B:$AC,7,0),IF(AB51="B",VLOOKUP($G51,'[1]Price Components'!$B:$AC,8,0),IF(AB51="C",VLOOKUP($G51,'[1]Price Components'!$B:$AC,9,0),IF(AB51="E",15%,IF(AB51="D",VLOOKUP($G51,'[1]Price Components'!$B:$AC,10,0))))))</f>
        <v>7.6999999999999999E-2</v>
      </c>
      <c r="AD51" s="13">
        <f>ROUND(IF(AC51=0,VLOOKUP($G51,'[1]Price Components'!$B:$AC,11,0),IF(I51="BASIC",X51*AC51,AA51*AC51)),0)</f>
        <v>12001</v>
      </c>
      <c r="AE51" s="13">
        <f>ROUND(VLOOKUP($G51,'[1]Price Components'!$B:$AC,12,0),0)</f>
        <v>1250</v>
      </c>
      <c r="AF51" s="16">
        <f>VLOOKUP($G51,'[1]Price Components'!$B:$AC,14,0)</f>
        <v>7.92E-3</v>
      </c>
      <c r="AG51" s="16">
        <f>VLOOKUP($G51,'[1]Price Components'!$B:$AC,15,0)</f>
        <v>8.2979999999999998E-3</v>
      </c>
      <c r="AH51" s="13">
        <f t="shared" si="12"/>
        <v>1501</v>
      </c>
      <c r="AI51" s="13">
        <f t="shared" si="13"/>
        <v>7740</v>
      </c>
      <c r="AJ51" s="13">
        <f t="shared" si="14"/>
        <v>1663</v>
      </c>
      <c r="AK51" s="13">
        <f t="shared" si="15"/>
        <v>10904</v>
      </c>
      <c r="AL51" s="13">
        <f t="shared" si="16"/>
        <v>223655</v>
      </c>
      <c r="AM51" s="17"/>
      <c r="AN51" s="18">
        <v>199500</v>
      </c>
      <c r="AO51" s="18">
        <f t="shared" si="17"/>
        <v>0</v>
      </c>
      <c r="AP51" s="18"/>
    </row>
    <row r="52" spans="1:42" ht="15.75" customHeight="1" x14ac:dyDescent="0.3">
      <c r="A52" s="7"/>
      <c r="B52" s="7"/>
      <c r="C52" s="7" t="str">
        <f t="shared" si="0"/>
        <v>VBFV60EB08</v>
      </c>
      <c r="D52" s="7" t="s">
        <v>39</v>
      </c>
      <c r="E52" s="7"/>
      <c r="F52" s="8">
        <v>350</v>
      </c>
      <c r="G52" s="9" t="s">
        <v>51</v>
      </c>
      <c r="H52" s="7" t="str">
        <f>VLOOKUP(G52,'[1]Price Components'!B:C,2,0)</f>
        <v>Himachal Pradesh</v>
      </c>
      <c r="I52" s="7" t="str">
        <f>VLOOKUP(G52,'[1]Price Components'!B:D,3,0)</f>
        <v>BASIC</v>
      </c>
      <c r="J52" s="10">
        <f t="shared" si="1"/>
        <v>4.249771174354499E-2</v>
      </c>
      <c r="K52" s="11">
        <v>144158</v>
      </c>
      <c r="L52" s="12">
        <f t="shared" si="2"/>
        <v>482.00691801935318</v>
      </c>
      <c r="M52" s="11">
        <v>144640.00691801935</v>
      </c>
      <c r="N52" s="8">
        <v>1279</v>
      </c>
      <c r="O52" s="13">
        <f>VLOOKUP(G52,'[1]Price Components'!B:E,4,0)</f>
        <v>890</v>
      </c>
      <c r="P52" s="13">
        <f t="shared" si="3"/>
        <v>146809</v>
      </c>
      <c r="Q52" s="14">
        <f>ROUND(IF(F52&lt;500,VLOOKUP(G52,'[1]Price Components'!B:G,5,0),VLOOKUP(G52,'[1]Price Components'!B:G,6,0)),2)</f>
        <v>772</v>
      </c>
      <c r="R52" s="11">
        <f t="shared" si="4"/>
        <v>7986</v>
      </c>
      <c r="S52" s="13">
        <v>0</v>
      </c>
      <c r="T52" s="11">
        <f t="shared" si="5"/>
        <v>7986</v>
      </c>
      <c r="U52" s="11">
        <v>292</v>
      </c>
      <c r="V52" s="13">
        <f t="shared" si="6"/>
        <v>8278</v>
      </c>
      <c r="W52" s="13">
        <f t="shared" si="7"/>
        <v>187916</v>
      </c>
      <c r="X52" s="13">
        <f t="shared" si="8"/>
        <v>155859</v>
      </c>
      <c r="Y52" s="13">
        <f t="shared" si="9"/>
        <v>43641</v>
      </c>
      <c r="Z52" s="11">
        <v>0</v>
      </c>
      <c r="AA52" s="13">
        <f t="shared" si="26"/>
        <v>199500</v>
      </c>
      <c r="AB52" s="13" t="str">
        <f t="shared" si="11"/>
        <v>B</v>
      </c>
      <c r="AC52" s="15">
        <f>IF(AB52="A",VLOOKUP($G52,'[1]Price Components'!$B:$AC,7,0),IF(AB52="B",VLOOKUP($G52,'[1]Price Components'!$B:$AC,8,0),IF(AB52="C",VLOOKUP($G52,'[1]Price Components'!$B:$AC,9,0),IF(AB52="E",15%,IF(AB52="D",VLOOKUP($G52,'[1]Price Components'!$B:$AC,10,0))))))</f>
        <v>7.6999999999999999E-2</v>
      </c>
      <c r="AD52" s="13">
        <f>ROUND(IF(AC52=0,VLOOKUP($G52,'[1]Price Components'!$B:$AC,11,0),IF(I52="BASIC",X52*AC52,AA52*AC52)),0)</f>
        <v>12001</v>
      </c>
      <c r="AE52" s="13">
        <f>ROUND(VLOOKUP($G52,'[1]Price Components'!$B:$AC,12,0),0)</f>
        <v>1250</v>
      </c>
      <c r="AF52" s="16">
        <f>VLOOKUP($G52,'[1]Price Components'!$B:$AC,14,0)</f>
        <v>7.92E-3</v>
      </c>
      <c r="AG52" s="16">
        <f>VLOOKUP($G52,'[1]Price Components'!$B:$AC,15,0)</f>
        <v>8.2979999999999998E-3</v>
      </c>
      <c r="AH52" s="13">
        <f t="shared" si="12"/>
        <v>1501</v>
      </c>
      <c r="AI52" s="13">
        <f t="shared" si="13"/>
        <v>7740</v>
      </c>
      <c r="AJ52" s="13">
        <f t="shared" si="14"/>
        <v>1663</v>
      </c>
      <c r="AK52" s="13">
        <f t="shared" si="15"/>
        <v>10904</v>
      </c>
      <c r="AL52" s="13">
        <f t="shared" si="16"/>
        <v>223655</v>
      </c>
      <c r="AM52" s="17"/>
      <c r="AN52" s="18">
        <v>199500</v>
      </c>
      <c r="AO52" s="18">
        <f t="shared" si="17"/>
        <v>0</v>
      </c>
      <c r="AP52" s="18"/>
    </row>
    <row r="53" spans="1:42" ht="15.75" customHeight="1" x14ac:dyDescent="0.3">
      <c r="A53" s="7"/>
      <c r="B53" s="7"/>
      <c r="C53" s="7" t="str">
        <f t="shared" si="0"/>
        <v>VBFV60HG08</v>
      </c>
      <c r="D53" s="7" t="s">
        <v>40</v>
      </c>
      <c r="E53" s="7"/>
      <c r="F53" s="8">
        <v>350</v>
      </c>
      <c r="G53" s="9" t="s">
        <v>51</v>
      </c>
      <c r="H53" s="7" t="str">
        <f>VLOOKUP(G53,'[1]Price Components'!B:C,2,0)</f>
        <v>Himachal Pradesh</v>
      </c>
      <c r="I53" s="7" t="str">
        <f>VLOOKUP(G53,'[1]Price Components'!B:D,3,0)</f>
        <v>BASIC</v>
      </c>
      <c r="J53" s="10">
        <f t="shared" si="1"/>
        <v>4.2501157750685546E-2</v>
      </c>
      <c r="K53" s="11">
        <v>147492</v>
      </c>
      <c r="L53" s="12">
        <f t="shared" si="2"/>
        <v>481.75778894472751</v>
      </c>
      <c r="M53" s="11">
        <v>147973.75778894473</v>
      </c>
      <c r="N53" s="8">
        <v>1279</v>
      </c>
      <c r="O53" s="13">
        <f>VLOOKUP(G53,'[1]Price Components'!B:E,4,0)</f>
        <v>890</v>
      </c>
      <c r="P53" s="13">
        <f t="shared" si="3"/>
        <v>150143</v>
      </c>
      <c r="Q53" s="14">
        <f>ROUND(IF(F53&lt;500,VLOOKUP(G53,'[1]Price Components'!B:G,5,0),VLOOKUP(G53,'[1]Price Components'!B:G,6,0)),2)</f>
        <v>772</v>
      </c>
      <c r="R53" s="11">
        <f t="shared" si="4"/>
        <v>8168</v>
      </c>
      <c r="S53" s="13">
        <v>0</v>
      </c>
      <c r="T53" s="11">
        <f t="shared" si="5"/>
        <v>8168</v>
      </c>
      <c r="U53" s="11">
        <v>292</v>
      </c>
      <c r="V53" s="13">
        <f t="shared" si="6"/>
        <v>8460</v>
      </c>
      <c r="W53" s="13">
        <f t="shared" si="7"/>
        <v>192183</v>
      </c>
      <c r="X53" s="13">
        <f t="shared" si="8"/>
        <v>159375</v>
      </c>
      <c r="Y53" s="13">
        <f t="shared" si="9"/>
        <v>44625</v>
      </c>
      <c r="Z53" s="11">
        <v>0</v>
      </c>
      <c r="AA53" s="13">
        <f t="shared" si="26"/>
        <v>204000</v>
      </c>
      <c r="AB53" s="13" t="str">
        <f t="shared" si="11"/>
        <v>C</v>
      </c>
      <c r="AC53" s="15">
        <f>IF(AB53="A",VLOOKUP($G53,'[1]Price Components'!$B:$AC,7,0),IF(AB53="B",VLOOKUP($G53,'[1]Price Components'!$B:$AC,8,0),IF(AB53="C",VLOOKUP($G53,'[1]Price Components'!$B:$AC,9,0),IF(AB53="E",15%,IF(AB53="D",VLOOKUP($G53,'[1]Price Components'!$B:$AC,10,0))))))</f>
        <v>7.6999999999999999E-2</v>
      </c>
      <c r="AD53" s="13">
        <f>ROUND(IF(AC53=0,VLOOKUP($G53,'[1]Price Components'!$B:$AC,11,0),IF(I53="BASIC",X53*AC53,AA53*AC53)),0)</f>
        <v>12272</v>
      </c>
      <c r="AE53" s="13">
        <f>ROUND(VLOOKUP($G53,'[1]Price Components'!$B:$AC,12,0),0)</f>
        <v>1250</v>
      </c>
      <c r="AF53" s="16">
        <f>VLOOKUP($G53,'[1]Price Components'!$B:$AC,14,0)</f>
        <v>7.92E-3</v>
      </c>
      <c r="AG53" s="16">
        <f>VLOOKUP($G53,'[1]Price Components'!$B:$AC,15,0)</f>
        <v>8.2979999999999998E-3</v>
      </c>
      <c r="AH53" s="13">
        <f t="shared" si="12"/>
        <v>1535</v>
      </c>
      <c r="AI53" s="13">
        <f t="shared" si="13"/>
        <v>7740</v>
      </c>
      <c r="AJ53" s="13">
        <f t="shared" si="14"/>
        <v>1670</v>
      </c>
      <c r="AK53" s="13">
        <f t="shared" si="15"/>
        <v>10945</v>
      </c>
      <c r="AL53" s="13">
        <f t="shared" si="16"/>
        <v>228467</v>
      </c>
      <c r="AM53" s="17"/>
      <c r="AN53" s="18">
        <v>204000</v>
      </c>
      <c r="AO53" s="18">
        <f t="shared" si="17"/>
        <v>0</v>
      </c>
      <c r="AP53" s="18"/>
    </row>
    <row r="54" spans="1:42" ht="15.75" customHeight="1" x14ac:dyDescent="0.3">
      <c r="A54" s="7"/>
      <c r="B54" s="7"/>
      <c r="C54" s="7" t="str">
        <f t="shared" si="0"/>
        <v>VBFV60SE08</v>
      </c>
      <c r="D54" s="7" t="s">
        <v>41</v>
      </c>
      <c r="E54" s="7"/>
      <c r="F54" s="8">
        <v>350</v>
      </c>
      <c r="G54" s="9" t="s">
        <v>51</v>
      </c>
      <c r="H54" s="7" t="str">
        <f>VLOOKUP(G54,'[1]Price Components'!B:C,2,0)</f>
        <v>Himachal Pradesh</v>
      </c>
      <c r="I54" s="7" t="str">
        <f>VLOOKUP(G54,'[1]Price Components'!B:D,3,0)</f>
        <v>BASIC</v>
      </c>
      <c r="J54" s="10">
        <f t="shared" si="1"/>
        <v>4.2502394812467766E-2</v>
      </c>
      <c r="K54" s="11">
        <v>156384</v>
      </c>
      <c r="L54" s="12">
        <f t="shared" si="2"/>
        <v>481.7506223784585</v>
      </c>
      <c r="M54" s="11">
        <v>156865.75062237846</v>
      </c>
      <c r="N54" s="8">
        <v>1279</v>
      </c>
      <c r="O54" s="13">
        <f>VLOOKUP(G54,'[1]Price Components'!B:E,4,0)</f>
        <v>890</v>
      </c>
      <c r="P54" s="13">
        <f t="shared" si="3"/>
        <v>159035</v>
      </c>
      <c r="Q54" s="14">
        <f>ROUND(IF(F54&lt;500,VLOOKUP(G54,'[1]Price Components'!B:G,5,0),VLOOKUP(G54,'[1]Price Components'!B:G,6,0)),2)</f>
        <v>772</v>
      </c>
      <c r="R54" s="11">
        <f t="shared" si="4"/>
        <v>8652</v>
      </c>
      <c r="S54" s="13">
        <v>0</v>
      </c>
      <c r="T54" s="11">
        <f t="shared" si="5"/>
        <v>8652</v>
      </c>
      <c r="U54" s="11">
        <v>292</v>
      </c>
      <c r="V54" s="13">
        <f t="shared" si="6"/>
        <v>8944</v>
      </c>
      <c r="W54" s="13">
        <f t="shared" si="7"/>
        <v>203565</v>
      </c>
      <c r="X54" s="13">
        <f t="shared" si="8"/>
        <v>168751</v>
      </c>
      <c r="Y54" s="13">
        <f t="shared" si="9"/>
        <v>47250</v>
      </c>
      <c r="Z54" s="11">
        <v>0</v>
      </c>
      <c r="AA54" s="13">
        <f>ROUND(X54+Y54+Z54,0)-1</f>
        <v>216000</v>
      </c>
      <c r="AB54" s="13" t="str">
        <f t="shared" si="11"/>
        <v>C</v>
      </c>
      <c r="AC54" s="15">
        <f>IF(AB54="A",VLOOKUP($G54,'[1]Price Components'!$B:$AC,7,0),IF(AB54="B",VLOOKUP($G54,'[1]Price Components'!$B:$AC,8,0),IF(AB54="C",VLOOKUP($G54,'[1]Price Components'!$B:$AC,9,0),IF(AB54="E",15%,IF(AB54="D",VLOOKUP($G54,'[1]Price Components'!$B:$AC,10,0))))))</f>
        <v>7.6999999999999999E-2</v>
      </c>
      <c r="AD54" s="13">
        <f>ROUND(IF(AC54=0,VLOOKUP($G54,'[1]Price Components'!$B:$AC,11,0),IF(I54="BASIC",X54*AC54,AA54*AC54)),0)</f>
        <v>12994</v>
      </c>
      <c r="AE54" s="13">
        <f>ROUND(VLOOKUP($G54,'[1]Price Components'!$B:$AC,12,0),0)</f>
        <v>1250</v>
      </c>
      <c r="AF54" s="16">
        <f>VLOOKUP($G54,'[1]Price Components'!$B:$AC,14,0)</f>
        <v>7.92E-3</v>
      </c>
      <c r="AG54" s="16">
        <f>VLOOKUP($G54,'[1]Price Components'!$B:$AC,15,0)</f>
        <v>8.2979999999999998E-3</v>
      </c>
      <c r="AH54" s="13">
        <f t="shared" si="12"/>
        <v>1625</v>
      </c>
      <c r="AI54" s="13">
        <f t="shared" si="13"/>
        <v>7740</v>
      </c>
      <c r="AJ54" s="13">
        <f t="shared" si="14"/>
        <v>1686</v>
      </c>
      <c r="AK54" s="13">
        <f t="shared" si="15"/>
        <v>11051</v>
      </c>
      <c r="AL54" s="13">
        <f t="shared" si="16"/>
        <v>241295</v>
      </c>
      <c r="AM54" s="17"/>
      <c r="AN54" s="18">
        <v>216000</v>
      </c>
      <c r="AO54" s="18">
        <f t="shared" si="17"/>
        <v>0</v>
      </c>
      <c r="AP54" s="18"/>
    </row>
    <row r="55" spans="1:42" ht="15.75" customHeight="1" x14ac:dyDescent="0.3">
      <c r="A55" s="7"/>
      <c r="B55" s="7"/>
      <c r="C55" s="7" t="str">
        <f t="shared" si="0"/>
        <v>VBFV60GM08</v>
      </c>
      <c r="D55" s="7" t="s">
        <v>42</v>
      </c>
      <c r="E55" s="7"/>
      <c r="F55" s="8">
        <v>350</v>
      </c>
      <c r="G55" s="9" t="s">
        <v>51</v>
      </c>
      <c r="H55" s="7" t="str">
        <f>VLOOKUP(G55,'[1]Price Components'!B:C,2,0)</f>
        <v>Himachal Pradesh</v>
      </c>
      <c r="I55" s="7" t="str">
        <f>VLOOKUP(G55,'[1]Price Components'!B:D,3,0)</f>
        <v>BASIC</v>
      </c>
      <c r="J55" s="10">
        <f t="shared" si="1"/>
        <v>4.2498821310702498E-2</v>
      </c>
      <c r="K55" s="11">
        <v>163052</v>
      </c>
      <c r="L55" s="12">
        <f t="shared" si="2"/>
        <v>482.04746594006428</v>
      </c>
      <c r="M55" s="11">
        <v>163534.04746594006</v>
      </c>
      <c r="N55" s="8">
        <v>1279</v>
      </c>
      <c r="O55" s="13">
        <f>VLOOKUP(G55,'[1]Price Components'!B:E,4,0)</f>
        <v>890</v>
      </c>
      <c r="P55" s="13">
        <f t="shared" si="3"/>
        <v>165703</v>
      </c>
      <c r="Q55" s="14">
        <f>ROUND(IF(F55&lt;500,VLOOKUP(G55,'[1]Price Components'!B:G,5,0),VLOOKUP(G55,'[1]Price Components'!B:G,6,0)),2)</f>
        <v>772</v>
      </c>
      <c r="R55" s="11">
        <f t="shared" si="4"/>
        <v>9014</v>
      </c>
      <c r="S55" s="13">
        <v>0</v>
      </c>
      <c r="T55" s="11">
        <f t="shared" si="5"/>
        <v>9014</v>
      </c>
      <c r="U55" s="11">
        <v>292</v>
      </c>
      <c r="V55" s="13">
        <f t="shared" si="6"/>
        <v>9306</v>
      </c>
      <c r="W55" s="13">
        <f t="shared" si="7"/>
        <v>212100</v>
      </c>
      <c r="X55" s="13">
        <f t="shared" si="8"/>
        <v>175781</v>
      </c>
      <c r="Y55" s="13">
        <f t="shared" si="9"/>
        <v>49219</v>
      </c>
      <c r="Z55" s="11">
        <v>0</v>
      </c>
      <c r="AA55" s="13">
        <f t="shared" ref="AA55:AA56" si="27">ROUND(X55+Y55+Z55,0)</f>
        <v>225000</v>
      </c>
      <c r="AB55" s="13" t="str">
        <f t="shared" si="11"/>
        <v>C</v>
      </c>
      <c r="AC55" s="15">
        <f>IF(AB55="A",VLOOKUP($G55,'[1]Price Components'!$B:$AC,7,0),IF(AB55="B",VLOOKUP($G55,'[1]Price Components'!$B:$AC,8,0),IF(AB55="C",VLOOKUP($G55,'[1]Price Components'!$B:$AC,9,0),IF(AB55="E",15%,IF(AB55="D",VLOOKUP($G55,'[1]Price Components'!$B:$AC,10,0))))))</f>
        <v>7.6999999999999999E-2</v>
      </c>
      <c r="AD55" s="13">
        <f>ROUND(IF(AC55=0,VLOOKUP($G55,'[1]Price Components'!$B:$AC,11,0),IF(I55="BASIC",X55*AC55,AA55*AC55)),0)</f>
        <v>13535</v>
      </c>
      <c r="AE55" s="13">
        <f>ROUND(VLOOKUP($G55,'[1]Price Components'!$B:$AC,12,0),0)</f>
        <v>1250</v>
      </c>
      <c r="AF55" s="16">
        <f>VLOOKUP($G55,'[1]Price Components'!$B:$AC,14,0)</f>
        <v>7.92E-3</v>
      </c>
      <c r="AG55" s="16">
        <f>VLOOKUP($G55,'[1]Price Components'!$B:$AC,15,0)</f>
        <v>8.2979999999999998E-3</v>
      </c>
      <c r="AH55" s="13">
        <f t="shared" si="12"/>
        <v>1693</v>
      </c>
      <c r="AI55" s="13">
        <f t="shared" si="13"/>
        <v>7740</v>
      </c>
      <c r="AJ55" s="13">
        <f t="shared" si="14"/>
        <v>1698</v>
      </c>
      <c r="AK55" s="13">
        <f t="shared" si="15"/>
        <v>11131</v>
      </c>
      <c r="AL55" s="13">
        <f t="shared" si="16"/>
        <v>250916</v>
      </c>
      <c r="AM55" s="17"/>
      <c r="AN55" s="18">
        <v>225000</v>
      </c>
      <c r="AO55" s="18">
        <f t="shared" si="17"/>
        <v>0</v>
      </c>
      <c r="AP55" s="18"/>
    </row>
    <row r="56" spans="1:42" ht="15.75" customHeight="1" x14ac:dyDescent="0.3">
      <c r="A56" s="7"/>
      <c r="B56" s="7"/>
      <c r="C56" s="7" t="str">
        <f t="shared" si="0"/>
        <v>VBFV60SB08</v>
      </c>
      <c r="D56" s="7" t="s">
        <v>43</v>
      </c>
      <c r="E56" s="7"/>
      <c r="F56" s="8">
        <v>350</v>
      </c>
      <c r="G56" s="9" t="s">
        <v>51</v>
      </c>
      <c r="H56" s="7" t="str">
        <f>VLOOKUP(G56,'[1]Price Components'!B:C,2,0)</f>
        <v>Himachal Pradesh</v>
      </c>
      <c r="I56" s="7" t="str">
        <f>VLOOKUP(G56,'[1]Price Components'!B:D,3,0)</f>
        <v>BASIC</v>
      </c>
      <c r="J56" s="10">
        <f t="shared" si="1"/>
        <v>4.2498821310702498E-2</v>
      </c>
      <c r="K56" s="11">
        <v>163052</v>
      </c>
      <c r="L56" s="12">
        <f t="shared" si="2"/>
        <v>482.04746594006428</v>
      </c>
      <c r="M56" s="11">
        <v>163534.04746594006</v>
      </c>
      <c r="N56" s="8">
        <v>1279</v>
      </c>
      <c r="O56" s="13">
        <f>VLOOKUP(G56,'[1]Price Components'!B:E,4,0)</f>
        <v>890</v>
      </c>
      <c r="P56" s="13">
        <f t="shared" si="3"/>
        <v>165703</v>
      </c>
      <c r="Q56" s="14">
        <f>ROUND(IF(F56&lt;500,VLOOKUP(G56,'[1]Price Components'!B:G,5,0),VLOOKUP(G56,'[1]Price Components'!B:G,6,0)),2)</f>
        <v>772</v>
      </c>
      <c r="R56" s="11">
        <f t="shared" si="4"/>
        <v>9014</v>
      </c>
      <c r="S56" s="13">
        <v>0</v>
      </c>
      <c r="T56" s="11">
        <f t="shared" si="5"/>
        <v>9014</v>
      </c>
      <c r="U56" s="11">
        <v>292</v>
      </c>
      <c r="V56" s="13">
        <f t="shared" si="6"/>
        <v>9306</v>
      </c>
      <c r="W56" s="13">
        <f t="shared" si="7"/>
        <v>212100</v>
      </c>
      <c r="X56" s="13">
        <f t="shared" si="8"/>
        <v>175781</v>
      </c>
      <c r="Y56" s="13">
        <f t="shared" si="9"/>
        <v>49219</v>
      </c>
      <c r="Z56" s="11">
        <v>0</v>
      </c>
      <c r="AA56" s="13">
        <f t="shared" si="27"/>
        <v>225000</v>
      </c>
      <c r="AB56" s="13" t="str">
        <f t="shared" si="11"/>
        <v>C</v>
      </c>
      <c r="AC56" s="15">
        <f>IF(AB56="A",VLOOKUP($G56,'[1]Price Components'!$B:$AC,7,0),IF(AB56="B",VLOOKUP($G56,'[1]Price Components'!$B:$AC,8,0),IF(AB56="C",VLOOKUP($G56,'[1]Price Components'!$B:$AC,9,0),IF(AB56="E",15%,IF(AB56="D",VLOOKUP($G56,'[1]Price Components'!$B:$AC,10,0))))))</f>
        <v>7.6999999999999999E-2</v>
      </c>
      <c r="AD56" s="13">
        <f>ROUND(IF(AC56=0,VLOOKUP($G56,'[1]Price Components'!$B:$AC,11,0),IF(I56="BASIC",X56*AC56,AA56*AC56)),0)</f>
        <v>13535</v>
      </c>
      <c r="AE56" s="13">
        <f>ROUND(VLOOKUP($G56,'[1]Price Components'!$B:$AC,12,0),0)</f>
        <v>1250</v>
      </c>
      <c r="AF56" s="16">
        <f>VLOOKUP($G56,'[1]Price Components'!$B:$AC,14,0)</f>
        <v>7.92E-3</v>
      </c>
      <c r="AG56" s="16">
        <f>VLOOKUP($G56,'[1]Price Components'!$B:$AC,15,0)</f>
        <v>8.2979999999999998E-3</v>
      </c>
      <c r="AH56" s="13">
        <f t="shared" si="12"/>
        <v>1693</v>
      </c>
      <c r="AI56" s="13">
        <f t="shared" si="13"/>
        <v>7740</v>
      </c>
      <c r="AJ56" s="13">
        <f t="shared" si="14"/>
        <v>1698</v>
      </c>
      <c r="AK56" s="13">
        <f t="shared" si="15"/>
        <v>11131</v>
      </c>
      <c r="AL56" s="13">
        <f t="shared" si="16"/>
        <v>250916</v>
      </c>
      <c r="AM56" s="17"/>
      <c r="AN56" s="18">
        <v>225000</v>
      </c>
      <c r="AO56" s="18">
        <f t="shared" si="17"/>
        <v>0</v>
      </c>
      <c r="AP56" s="18"/>
    </row>
    <row r="57" spans="1:42" ht="15.75" customHeight="1" x14ac:dyDescent="0.3">
      <c r="A57" s="7"/>
      <c r="B57" s="7"/>
      <c r="C57" s="7" t="str">
        <f t="shared" si="0"/>
        <v>VBFV60DN08</v>
      </c>
      <c r="D57" s="7" t="s">
        <v>44</v>
      </c>
      <c r="E57" s="7"/>
      <c r="F57" s="8">
        <v>350</v>
      </c>
      <c r="G57" s="9" t="s">
        <v>51</v>
      </c>
      <c r="H57" s="7" t="str">
        <f>VLOOKUP(G57,'[1]Price Components'!B:C,2,0)</f>
        <v>Himachal Pradesh</v>
      </c>
      <c r="I57" s="7" t="str">
        <f>VLOOKUP(G57,'[1]Price Components'!B:D,3,0)</f>
        <v>BASIC</v>
      </c>
      <c r="J57" s="10">
        <f t="shared" si="1"/>
        <v>4.250118750605282E-2</v>
      </c>
      <c r="K57" s="11">
        <v>166757</v>
      </c>
      <c r="L57" s="12">
        <f t="shared" si="2"/>
        <v>480.82316302746767</v>
      </c>
      <c r="M57" s="11">
        <v>167237.82316302747</v>
      </c>
      <c r="N57" s="8">
        <v>1279</v>
      </c>
      <c r="O57" s="13">
        <f>VLOOKUP(G57,'[1]Price Components'!B:E,4,0)</f>
        <v>890</v>
      </c>
      <c r="P57" s="13">
        <f t="shared" si="3"/>
        <v>169407</v>
      </c>
      <c r="Q57" s="14">
        <f>ROUND(IF(F57&lt;500,VLOOKUP(G57,'[1]Price Components'!B:G,5,0),VLOOKUP(G57,'[1]Price Components'!B:G,6,0)),2)</f>
        <v>772</v>
      </c>
      <c r="R57" s="11">
        <f t="shared" si="4"/>
        <v>9216</v>
      </c>
      <c r="S57" s="13">
        <v>0</v>
      </c>
      <c r="T57" s="11">
        <f t="shared" si="5"/>
        <v>9216</v>
      </c>
      <c r="U57" s="11">
        <v>292</v>
      </c>
      <c r="V57" s="13">
        <f t="shared" si="6"/>
        <v>9508</v>
      </c>
      <c r="W57" s="13">
        <f t="shared" si="7"/>
        <v>216841</v>
      </c>
      <c r="X57" s="13">
        <f t="shared" si="8"/>
        <v>179687</v>
      </c>
      <c r="Y57" s="13">
        <f t="shared" si="9"/>
        <v>50312</v>
      </c>
      <c r="Z57" s="11">
        <v>0</v>
      </c>
      <c r="AA57" s="13">
        <f>ROUND(X57+Y57+Z57,0)+1</f>
        <v>230000</v>
      </c>
      <c r="AB57" s="13" t="str">
        <f t="shared" si="11"/>
        <v>C</v>
      </c>
      <c r="AC57" s="15">
        <f>IF(AB57="A",VLOOKUP($G57,'[1]Price Components'!$B:$AC,7,0),IF(AB57="B",VLOOKUP($G57,'[1]Price Components'!$B:$AC,8,0),IF(AB57="C",VLOOKUP($G57,'[1]Price Components'!$B:$AC,9,0),IF(AB57="E",15%,IF(AB57="D",VLOOKUP($G57,'[1]Price Components'!$B:$AC,10,0))))))</f>
        <v>7.6999999999999999E-2</v>
      </c>
      <c r="AD57" s="13">
        <f>ROUND(IF(AC57=0,VLOOKUP($G57,'[1]Price Components'!$B:$AC,11,0),IF(I57="BASIC",X57*AC57,AA57*AC57)),0)</f>
        <v>13836</v>
      </c>
      <c r="AE57" s="13">
        <f>ROUND(VLOOKUP($G57,'[1]Price Components'!$B:$AC,12,0),0)</f>
        <v>1250</v>
      </c>
      <c r="AF57" s="16">
        <f>VLOOKUP($G57,'[1]Price Components'!$B:$AC,14,0)</f>
        <v>7.92E-3</v>
      </c>
      <c r="AG57" s="16">
        <f>VLOOKUP($G57,'[1]Price Components'!$B:$AC,15,0)</f>
        <v>8.2979999999999998E-3</v>
      </c>
      <c r="AH57" s="13">
        <f t="shared" si="12"/>
        <v>1731</v>
      </c>
      <c r="AI57" s="13">
        <f t="shared" si="13"/>
        <v>7740</v>
      </c>
      <c r="AJ57" s="13">
        <f t="shared" si="14"/>
        <v>1705</v>
      </c>
      <c r="AK57" s="13">
        <f t="shared" si="15"/>
        <v>11176</v>
      </c>
      <c r="AL57" s="13">
        <f t="shared" si="16"/>
        <v>256262</v>
      </c>
      <c r="AM57" s="17"/>
      <c r="AN57" s="18">
        <v>230000</v>
      </c>
      <c r="AO57" s="18">
        <f t="shared" si="17"/>
        <v>0</v>
      </c>
      <c r="AP57" s="18"/>
    </row>
    <row r="58" spans="1:42" ht="15.75" customHeight="1" x14ac:dyDescent="0.3">
      <c r="A58" s="7"/>
      <c r="B58" s="7"/>
      <c r="C58" s="7" t="str">
        <f t="shared" si="0"/>
        <v>VBFV60RR09</v>
      </c>
      <c r="D58" s="7" t="s">
        <v>37</v>
      </c>
      <c r="E58" s="7"/>
      <c r="F58" s="8">
        <v>350</v>
      </c>
      <c r="G58" s="9" t="s">
        <v>52</v>
      </c>
      <c r="H58" s="7" t="str">
        <f>VLOOKUP(G58,'[1]Price Components'!B:C,2,0)</f>
        <v>Jammu and Kashmir</v>
      </c>
      <c r="I58" s="7" t="str">
        <f>VLOOKUP(G58,'[1]Price Components'!B:D,3,0)</f>
        <v>EX-SHOWROOM</v>
      </c>
      <c r="J58" s="10">
        <f t="shared" si="1"/>
        <v>4.2500026868141909E-2</v>
      </c>
      <c r="K58" s="11">
        <v>144158</v>
      </c>
      <c r="L58" s="12">
        <f t="shared" si="2"/>
        <v>-1362.7570972433023</v>
      </c>
      <c r="M58" s="11">
        <v>142795.2429027567</v>
      </c>
      <c r="N58" s="8">
        <v>1279</v>
      </c>
      <c r="O58" s="13">
        <f>VLOOKUP(G58,'[1]Price Components'!B:E,4,0)</f>
        <v>1312</v>
      </c>
      <c r="P58" s="13">
        <f t="shared" si="3"/>
        <v>145386</v>
      </c>
      <c r="Q58" s="14">
        <f>ROUND(IF(F58&lt;500,VLOOKUP(G58,'[1]Price Components'!B:G,5,0),VLOOKUP(G58,'[1]Price Components'!B:G,6,0)),2)</f>
        <v>2272</v>
      </c>
      <c r="R58" s="11">
        <f t="shared" si="4"/>
        <v>7909</v>
      </c>
      <c r="S58" s="13">
        <v>0</v>
      </c>
      <c r="T58" s="11">
        <f t="shared" si="5"/>
        <v>7909</v>
      </c>
      <c r="U58" s="11">
        <v>292</v>
      </c>
      <c r="V58" s="13">
        <f t="shared" si="6"/>
        <v>8201</v>
      </c>
      <c r="W58" s="13">
        <f t="shared" si="7"/>
        <v>186094</v>
      </c>
      <c r="X58" s="13">
        <f t="shared" si="8"/>
        <v>155859</v>
      </c>
      <c r="Y58" s="13">
        <f t="shared" si="9"/>
        <v>43641</v>
      </c>
      <c r="Z58" s="11">
        <v>0</v>
      </c>
      <c r="AA58" s="13">
        <f t="shared" ref="AA58:AA63" si="28">ROUND(X58+Y58+Z58,0)</f>
        <v>199500</v>
      </c>
      <c r="AB58" s="13" t="str">
        <f t="shared" si="11"/>
        <v>B</v>
      </c>
      <c r="AC58" s="15">
        <f>IF(AB58="A",VLOOKUP($G58,'[1]Price Components'!$B:$AC,7,0),IF(AB58="B",VLOOKUP($G58,'[1]Price Components'!$B:$AC,8,0),IF(AB58="C",VLOOKUP($G58,'[1]Price Components'!$B:$AC,9,0),IF(AB58="E",15%,IF(AB58="D",VLOOKUP($G58,'[1]Price Components'!$B:$AC,10,0))))))</f>
        <v>0.1</v>
      </c>
      <c r="AD58" s="13">
        <f>ROUND(IF(AC58=0,VLOOKUP($G58,'[1]Price Components'!$B:$AC,11,0),IF(I58="BASIC",X58*AC58,AA58*AC58)),0)</f>
        <v>19950</v>
      </c>
      <c r="AE58" s="13">
        <f>ROUND(VLOOKUP($G58,'[1]Price Components'!$B:$AC,12,0),0)</f>
        <v>0</v>
      </c>
      <c r="AF58" s="16">
        <f>VLOOKUP($G58,'[1]Price Components'!$B:$AC,14,0)</f>
        <v>7.92E-3</v>
      </c>
      <c r="AG58" s="16">
        <f>VLOOKUP($G58,'[1]Price Components'!$B:$AC,15,0)</f>
        <v>8.2979999999999998E-3</v>
      </c>
      <c r="AH58" s="13">
        <f t="shared" si="12"/>
        <v>1501</v>
      </c>
      <c r="AI58" s="13">
        <f t="shared" si="13"/>
        <v>7740</v>
      </c>
      <c r="AJ58" s="13">
        <f t="shared" si="14"/>
        <v>1663</v>
      </c>
      <c r="AK58" s="13">
        <f t="shared" si="15"/>
        <v>10904</v>
      </c>
      <c r="AL58" s="13">
        <f t="shared" si="16"/>
        <v>230354</v>
      </c>
      <c r="AM58" s="17"/>
      <c r="AN58" s="18">
        <v>199500</v>
      </c>
      <c r="AO58" s="18">
        <f t="shared" si="17"/>
        <v>0</v>
      </c>
      <c r="AP58" s="18"/>
    </row>
    <row r="59" spans="1:42" ht="15.75" customHeight="1" x14ac:dyDescent="0.3">
      <c r="A59" s="7"/>
      <c r="B59" s="7"/>
      <c r="C59" s="7" t="str">
        <f t="shared" si="0"/>
        <v>VBFV60EB09</v>
      </c>
      <c r="D59" s="7" t="s">
        <v>39</v>
      </c>
      <c r="E59" s="7"/>
      <c r="F59" s="8">
        <v>350</v>
      </c>
      <c r="G59" s="9" t="s">
        <v>52</v>
      </c>
      <c r="H59" s="7" t="str">
        <f>VLOOKUP(G59,'[1]Price Components'!B:C,2,0)</f>
        <v>Jammu and Kashmir</v>
      </c>
      <c r="I59" s="7" t="str">
        <f>VLOOKUP(G59,'[1]Price Components'!B:D,3,0)</f>
        <v>EX-SHOWROOM</v>
      </c>
      <c r="J59" s="10">
        <f t="shared" si="1"/>
        <v>4.2500026868141909E-2</v>
      </c>
      <c r="K59" s="11">
        <v>144158</v>
      </c>
      <c r="L59" s="12">
        <f t="shared" si="2"/>
        <v>-1362.7570972433023</v>
      </c>
      <c r="M59" s="11">
        <v>142795.2429027567</v>
      </c>
      <c r="N59" s="8">
        <v>1279</v>
      </c>
      <c r="O59" s="13">
        <f>VLOOKUP(G59,'[1]Price Components'!B:E,4,0)</f>
        <v>1312</v>
      </c>
      <c r="P59" s="13">
        <f t="shared" si="3"/>
        <v>145386</v>
      </c>
      <c r="Q59" s="14">
        <f>ROUND(IF(F59&lt;500,VLOOKUP(G59,'[1]Price Components'!B:G,5,0),VLOOKUP(G59,'[1]Price Components'!B:G,6,0)),2)</f>
        <v>2272</v>
      </c>
      <c r="R59" s="11">
        <f t="shared" si="4"/>
        <v>7909</v>
      </c>
      <c r="S59" s="13">
        <v>0</v>
      </c>
      <c r="T59" s="11">
        <f t="shared" si="5"/>
        <v>7909</v>
      </c>
      <c r="U59" s="11">
        <v>292</v>
      </c>
      <c r="V59" s="13">
        <f t="shared" si="6"/>
        <v>8201</v>
      </c>
      <c r="W59" s="13">
        <f t="shared" si="7"/>
        <v>186094</v>
      </c>
      <c r="X59" s="13">
        <f t="shared" si="8"/>
        <v>155859</v>
      </c>
      <c r="Y59" s="13">
        <f t="shared" si="9"/>
        <v>43641</v>
      </c>
      <c r="Z59" s="11">
        <v>0</v>
      </c>
      <c r="AA59" s="13">
        <f t="shared" si="28"/>
        <v>199500</v>
      </c>
      <c r="AB59" s="13" t="str">
        <f t="shared" si="11"/>
        <v>B</v>
      </c>
      <c r="AC59" s="15">
        <f>IF(AB59="A",VLOOKUP($G59,'[1]Price Components'!$B:$AC,7,0),IF(AB59="B",VLOOKUP($G59,'[1]Price Components'!$B:$AC,8,0),IF(AB59="C",VLOOKUP($G59,'[1]Price Components'!$B:$AC,9,0),IF(AB59="E",15%,IF(AB59="D",VLOOKUP($G59,'[1]Price Components'!$B:$AC,10,0))))))</f>
        <v>0.1</v>
      </c>
      <c r="AD59" s="13">
        <f>ROUND(IF(AC59=0,VLOOKUP($G59,'[1]Price Components'!$B:$AC,11,0),IF(I59="BASIC",X59*AC59,AA59*AC59)),0)</f>
        <v>19950</v>
      </c>
      <c r="AE59" s="13">
        <f>ROUND(VLOOKUP($G59,'[1]Price Components'!$B:$AC,12,0),0)</f>
        <v>0</v>
      </c>
      <c r="AF59" s="16">
        <f>VLOOKUP($G59,'[1]Price Components'!$B:$AC,14,0)</f>
        <v>7.92E-3</v>
      </c>
      <c r="AG59" s="16">
        <f>VLOOKUP($G59,'[1]Price Components'!$B:$AC,15,0)</f>
        <v>8.2979999999999998E-3</v>
      </c>
      <c r="AH59" s="13">
        <f t="shared" si="12"/>
        <v>1501</v>
      </c>
      <c r="AI59" s="13">
        <f t="shared" si="13"/>
        <v>7740</v>
      </c>
      <c r="AJ59" s="13">
        <f t="shared" si="14"/>
        <v>1663</v>
      </c>
      <c r="AK59" s="13">
        <f t="shared" si="15"/>
        <v>10904</v>
      </c>
      <c r="AL59" s="13">
        <f t="shared" si="16"/>
        <v>230354</v>
      </c>
      <c r="AM59" s="17"/>
      <c r="AN59" s="18">
        <v>199500</v>
      </c>
      <c r="AO59" s="18">
        <f t="shared" si="17"/>
        <v>0</v>
      </c>
      <c r="AP59" s="18"/>
    </row>
    <row r="60" spans="1:42" ht="15.75" customHeight="1" x14ac:dyDescent="0.3">
      <c r="A60" s="7"/>
      <c r="B60" s="7"/>
      <c r="C60" s="7" t="str">
        <f t="shared" si="0"/>
        <v>VBFV60HG09</v>
      </c>
      <c r="D60" s="7" t="s">
        <v>40</v>
      </c>
      <c r="E60" s="7"/>
      <c r="F60" s="8">
        <v>350</v>
      </c>
      <c r="G60" s="9" t="s">
        <v>52</v>
      </c>
      <c r="H60" s="7" t="str">
        <f>VLOOKUP(G60,'[1]Price Components'!B:C,2,0)</f>
        <v>Jammu and Kashmir</v>
      </c>
      <c r="I60" s="7" t="str">
        <f>VLOOKUP(G60,'[1]Price Components'!B:D,3,0)</f>
        <v>EX-SHOWROOM</v>
      </c>
      <c r="J60" s="10">
        <f t="shared" si="1"/>
        <v>4.2497754290487119E-2</v>
      </c>
      <c r="K60" s="11">
        <v>147492</v>
      </c>
      <c r="L60" s="12">
        <f t="shared" si="2"/>
        <v>-1362.3193771973893</v>
      </c>
      <c r="M60" s="11">
        <v>146129.68062280261</v>
      </c>
      <c r="N60" s="8">
        <v>1279</v>
      </c>
      <c r="O60" s="13">
        <f>VLOOKUP(G60,'[1]Price Components'!B:E,4,0)</f>
        <v>1312</v>
      </c>
      <c r="P60" s="13">
        <f t="shared" si="3"/>
        <v>148721</v>
      </c>
      <c r="Q60" s="14">
        <f>ROUND(IF(F60&lt;500,VLOOKUP(G60,'[1]Price Components'!B:G,5,0),VLOOKUP(G60,'[1]Price Components'!B:G,6,0)),2)</f>
        <v>2272</v>
      </c>
      <c r="R60" s="11">
        <f t="shared" si="4"/>
        <v>8090</v>
      </c>
      <c r="S60" s="13">
        <v>0</v>
      </c>
      <c r="T60" s="11">
        <f t="shared" si="5"/>
        <v>8090</v>
      </c>
      <c r="U60" s="11">
        <v>292</v>
      </c>
      <c r="V60" s="13">
        <f t="shared" si="6"/>
        <v>8382</v>
      </c>
      <c r="W60" s="13">
        <f t="shared" si="7"/>
        <v>190363</v>
      </c>
      <c r="X60" s="13">
        <f t="shared" si="8"/>
        <v>159375</v>
      </c>
      <c r="Y60" s="13">
        <f t="shared" si="9"/>
        <v>44625</v>
      </c>
      <c r="Z60" s="11">
        <v>0</v>
      </c>
      <c r="AA60" s="13">
        <f t="shared" si="28"/>
        <v>204000</v>
      </c>
      <c r="AB60" s="13" t="str">
        <f t="shared" si="11"/>
        <v>C</v>
      </c>
      <c r="AC60" s="15">
        <f>IF(AB60="A",VLOOKUP($G60,'[1]Price Components'!$B:$AC,7,0),IF(AB60="B",VLOOKUP($G60,'[1]Price Components'!$B:$AC,8,0),IF(AB60="C",VLOOKUP($G60,'[1]Price Components'!$B:$AC,9,0),IF(AB60="E",15%,IF(AB60="D",VLOOKUP($G60,'[1]Price Components'!$B:$AC,10,0))))))</f>
        <v>0.1</v>
      </c>
      <c r="AD60" s="13">
        <f>ROUND(IF(AC60=0,VLOOKUP($G60,'[1]Price Components'!$B:$AC,11,0),IF(I60="BASIC",X60*AC60,AA60*AC60)),0)</f>
        <v>20400</v>
      </c>
      <c r="AE60" s="13">
        <f>ROUND(VLOOKUP($G60,'[1]Price Components'!$B:$AC,12,0),0)</f>
        <v>0</v>
      </c>
      <c r="AF60" s="16">
        <f>VLOOKUP($G60,'[1]Price Components'!$B:$AC,14,0)</f>
        <v>7.92E-3</v>
      </c>
      <c r="AG60" s="16">
        <f>VLOOKUP($G60,'[1]Price Components'!$B:$AC,15,0)</f>
        <v>8.2979999999999998E-3</v>
      </c>
      <c r="AH60" s="13">
        <f t="shared" si="12"/>
        <v>1535</v>
      </c>
      <c r="AI60" s="13">
        <f t="shared" si="13"/>
        <v>7740</v>
      </c>
      <c r="AJ60" s="13">
        <f t="shared" si="14"/>
        <v>1670</v>
      </c>
      <c r="AK60" s="13">
        <f t="shared" si="15"/>
        <v>10945</v>
      </c>
      <c r="AL60" s="13">
        <f t="shared" si="16"/>
        <v>235345</v>
      </c>
      <c r="AM60" s="17"/>
      <c r="AN60" s="18">
        <v>204000</v>
      </c>
      <c r="AO60" s="18">
        <f t="shared" si="17"/>
        <v>0</v>
      </c>
      <c r="AP60" s="18"/>
    </row>
    <row r="61" spans="1:42" ht="15.75" customHeight="1" x14ac:dyDescent="0.3">
      <c r="A61" s="7"/>
      <c r="B61" s="7"/>
      <c r="C61" s="7" t="str">
        <f t="shared" si="0"/>
        <v>VBFV60SE09</v>
      </c>
      <c r="D61" s="7" t="s">
        <v>41</v>
      </c>
      <c r="E61" s="7"/>
      <c r="F61" s="8">
        <v>350</v>
      </c>
      <c r="G61" s="9" t="s">
        <v>52</v>
      </c>
      <c r="H61" s="7" t="str">
        <f>VLOOKUP(G61,'[1]Price Components'!B:C,2,0)</f>
        <v>Jammu and Kashmir</v>
      </c>
      <c r="I61" s="7" t="str">
        <f>VLOOKUP(G61,'[1]Price Components'!B:D,3,0)</f>
        <v>EX-SHOWROOM</v>
      </c>
      <c r="J61" s="10">
        <f t="shared" si="1"/>
        <v>4.2499615847885676E-2</v>
      </c>
      <c r="K61" s="11">
        <v>156384</v>
      </c>
      <c r="L61" s="12">
        <f t="shared" si="2"/>
        <v>-1362.986616113747</v>
      </c>
      <c r="M61" s="11">
        <v>155021.01338388625</v>
      </c>
      <c r="N61" s="8">
        <v>1279</v>
      </c>
      <c r="O61" s="13">
        <f>VLOOKUP(G61,'[1]Price Components'!B:E,4,0)</f>
        <v>1312</v>
      </c>
      <c r="P61" s="13">
        <f t="shared" si="3"/>
        <v>157612</v>
      </c>
      <c r="Q61" s="14">
        <f>ROUND(IF(F61&lt;500,VLOOKUP(G61,'[1]Price Components'!B:G,5,0),VLOOKUP(G61,'[1]Price Components'!B:G,6,0)),2)</f>
        <v>2272</v>
      </c>
      <c r="R61" s="11">
        <f t="shared" si="4"/>
        <v>8574</v>
      </c>
      <c r="S61" s="13">
        <v>0</v>
      </c>
      <c r="T61" s="11">
        <f t="shared" si="5"/>
        <v>8574</v>
      </c>
      <c r="U61" s="11">
        <v>292</v>
      </c>
      <c r="V61" s="13">
        <f t="shared" si="6"/>
        <v>8866</v>
      </c>
      <c r="W61" s="13">
        <f t="shared" si="7"/>
        <v>201743</v>
      </c>
      <c r="X61" s="13">
        <f t="shared" si="8"/>
        <v>168750</v>
      </c>
      <c r="Y61" s="13">
        <f t="shared" si="9"/>
        <v>47250</v>
      </c>
      <c r="Z61" s="11">
        <v>0</v>
      </c>
      <c r="AA61" s="13">
        <f t="shared" si="28"/>
        <v>216000</v>
      </c>
      <c r="AB61" s="13" t="str">
        <f t="shared" si="11"/>
        <v>C</v>
      </c>
      <c r="AC61" s="15">
        <f>IF(AB61="A",VLOOKUP($G61,'[1]Price Components'!$B:$AC,7,0),IF(AB61="B",VLOOKUP($G61,'[1]Price Components'!$B:$AC,8,0),IF(AB61="C",VLOOKUP($G61,'[1]Price Components'!$B:$AC,9,0),IF(AB61="E",15%,IF(AB61="D",VLOOKUP($G61,'[1]Price Components'!$B:$AC,10,0))))))</f>
        <v>0.1</v>
      </c>
      <c r="AD61" s="13">
        <f>ROUND(IF(AC61=0,VLOOKUP($G61,'[1]Price Components'!$B:$AC,11,0),IF(I61="BASIC",X61*AC61,AA61*AC61)),0)</f>
        <v>21600</v>
      </c>
      <c r="AE61" s="13">
        <f>ROUND(VLOOKUP($G61,'[1]Price Components'!$B:$AC,12,0),0)</f>
        <v>0</v>
      </c>
      <c r="AF61" s="16">
        <f>VLOOKUP($G61,'[1]Price Components'!$B:$AC,14,0)</f>
        <v>7.92E-3</v>
      </c>
      <c r="AG61" s="16">
        <f>VLOOKUP($G61,'[1]Price Components'!$B:$AC,15,0)</f>
        <v>8.2979999999999998E-3</v>
      </c>
      <c r="AH61" s="13">
        <f t="shared" si="12"/>
        <v>1625</v>
      </c>
      <c r="AI61" s="13">
        <f t="shared" si="13"/>
        <v>7740</v>
      </c>
      <c r="AJ61" s="13">
        <f t="shared" si="14"/>
        <v>1686</v>
      </c>
      <c r="AK61" s="13">
        <f t="shared" si="15"/>
        <v>11051</v>
      </c>
      <c r="AL61" s="13">
        <f t="shared" si="16"/>
        <v>248651</v>
      </c>
      <c r="AM61" s="17"/>
      <c r="AN61" s="18">
        <v>216000</v>
      </c>
      <c r="AO61" s="18">
        <f t="shared" si="17"/>
        <v>0</v>
      </c>
      <c r="AP61" s="18"/>
    </row>
    <row r="62" spans="1:42" ht="15.75" customHeight="1" x14ac:dyDescent="0.3">
      <c r="A62" s="7"/>
      <c r="B62" s="7"/>
      <c r="C62" s="7" t="str">
        <f t="shared" si="0"/>
        <v>VBFV60GM09</v>
      </c>
      <c r="D62" s="7" t="s">
        <v>42</v>
      </c>
      <c r="E62" s="7"/>
      <c r="F62" s="8">
        <v>350</v>
      </c>
      <c r="G62" s="9" t="s">
        <v>52</v>
      </c>
      <c r="H62" s="7" t="str">
        <f>VLOOKUP(G62,'[1]Price Components'!B:C,2,0)</f>
        <v>Jammu and Kashmir</v>
      </c>
      <c r="I62" s="7" t="str">
        <f>VLOOKUP(G62,'[1]Price Components'!B:D,3,0)</f>
        <v>EX-SHOWROOM</v>
      </c>
      <c r="J62" s="10">
        <f t="shared" si="1"/>
        <v>4.2500879787709604E-2</v>
      </c>
      <c r="K62" s="11">
        <v>163052</v>
      </c>
      <c r="L62" s="12">
        <f t="shared" si="2"/>
        <v>-1363.2054319250165</v>
      </c>
      <c r="M62" s="11">
        <v>161688.79456807498</v>
      </c>
      <c r="N62" s="8">
        <v>1279</v>
      </c>
      <c r="O62" s="13">
        <f>VLOOKUP(G62,'[1]Price Components'!B:E,4,0)</f>
        <v>1312</v>
      </c>
      <c r="P62" s="13">
        <f t="shared" si="3"/>
        <v>164280</v>
      </c>
      <c r="Q62" s="14">
        <f>ROUND(IF(F62&lt;500,VLOOKUP(G62,'[1]Price Components'!B:G,5,0),VLOOKUP(G62,'[1]Price Components'!B:G,6,0)),2)</f>
        <v>2272</v>
      </c>
      <c r="R62" s="11">
        <f t="shared" si="4"/>
        <v>8937</v>
      </c>
      <c r="S62" s="13">
        <v>0</v>
      </c>
      <c r="T62" s="11">
        <f t="shared" si="5"/>
        <v>8937</v>
      </c>
      <c r="U62" s="11">
        <v>292</v>
      </c>
      <c r="V62" s="13">
        <f t="shared" si="6"/>
        <v>9229</v>
      </c>
      <c r="W62" s="13">
        <f t="shared" si="7"/>
        <v>210278</v>
      </c>
      <c r="X62" s="13">
        <f t="shared" si="8"/>
        <v>175781</v>
      </c>
      <c r="Y62" s="13">
        <f t="shared" si="9"/>
        <v>49219</v>
      </c>
      <c r="Z62" s="11">
        <v>0</v>
      </c>
      <c r="AA62" s="13">
        <f t="shared" si="28"/>
        <v>225000</v>
      </c>
      <c r="AB62" s="13" t="str">
        <f t="shared" si="11"/>
        <v>C</v>
      </c>
      <c r="AC62" s="15">
        <f>IF(AB62="A",VLOOKUP($G62,'[1]Price Components'!$B:$AC,7,0),IF(AB62="B",VLOOKUP($G62,'[1]Price Components'!$B:$AC,8,0),IF(AB62="C",VLOOKUP($G62,'[1]Price Components'!$B:$AC,9,0),IF(AB62="E",15%,IF(AB62="D",VLOOKUP($G62,'[1]Price Components'!$B:$AC,10,0))))))</f>
        <v>0.1</v>
      </c>
      <c r="AD62" s="13">
        <f>ROUND(IF(AC62=0,VLOOKUP($G62,'[1]Price Components'!$B:$AC,11,0),IF(I62="BASIC",X62*AC62,AA62*AC62)),0)</f>
        <v>22500</v>
      </c>
      <c r="AE62" s="13">
        <f>ROUND(VLOOKUP($G62,'[1]Price Components'!$B:$AC,12,0),0)</f>
        <v>0</v>
      </c>
      <c r="AF62" s="16">
        <f>VLOOKUP($G62,'[1]Price Components'!$B:$AC,14,0)</f>
        <v>7.92E-3</v>
      </c>
      <c r="AG62" s="16">
        <f>VLOOKUP($G62,'[1]Price Components'!$B:$AC,15,0)</f>
        <v>8.2979999999999998E-3</v>
      </c>
      <c r="AH62" s="13">
        <f t="shared" si="12"/>
        <v>1693</v>
      </c>
      <c r="AI62" s="13">
        <f t="shared" si="13"/>
        <v>7740</v>
      </c>
      <c r="AJ62" s="13">
        <f t="shared" si="14"/>
        <v>1698</v>
      </c>
      <c r="AK62" s="13">
        <f t="shared" si="15"/>
        <v>11131</v>
      </c>
      <c r="AL62" s="13">
        <f t="shared" si="16"/>
        <v>258631</v>
      </c>
      <c r="AM62" s="17"/>
      <c r="AN62" s="18">
        <v>225000</v>
      </c>
      <c r="AO62" s="18">
        <f t="shared" si="17"/>
        <v>0</v>
      </c>
      <c r="AP62" s="18"/>
    </row>
    <row r="63" spans="1:42" ht="15.75" customHeight="1" x14ac:dyDescent="0.3">
      <c r="A63" s="7"/>
      <c r="B63" s="7"/>
      <c r="C63" s="7" t="str">
        <f t="shared" si="0"/>
        <v>VBFV60SB09</v>
      </c>
      <c r="D63" s="7" t="s">
        <v>43</v>
      </c>
      <c r="E63" s="7"/>
      <c r="F63" s="8">
        <v>350</v>
      </c>
      <c r="G63" s="9" t="s">
        <v>52</v>
      </c>
      <c r="H63" s="7" t="str">
        <f>VLOOKUP(G63,'[1]Price Components'!B:C,2,0)</f>
        <v>Jammu and Kashmir</v>
      </c>
      <c r="I63" s="7" t="str">
        <f>VLOOKUP(G63,'[1]Price Components'!B:D,3,0)</f>
        <v>EX-SHOWROOM</v>
      </c>
      <c r="J63" s="10">
        <f t="shared" si="1"/>
        <v>4.2500879787709604E-2</v>
      </c>
      <c r="K63" s="11">
        <v>163052</v>
      </c>
      <c r="L63" s="12">
        <f t="shared" si="2"/>
        <v>-1363.2054319250165</v>
      </c>
      <c r="M63" s="11">
        <v>161688.79456807498</v>
      </c>
      <c r="N63" s="8">
        <v>1279</v>
      </c>
      <c r="O63" s="13">
        <f>VLOOKUP(G63,'[1]Price Components'!B:E,4,0)</f>
        <v>1312</v>
      </c>
      <c r="P63" s="13">
        <f t="shared" si="3"/>
        <v>164280</v>
      </c>
      <c r="Q63" s="14">
        <f>ROUND(IF(F63&lt;500,VLOOKUP(G63,'[1]Price Components'!B:G,5,0),VLOOKUP(G63,'[1]Price Components'!B:G,6,0)),2)</f>
        <v>2272</v>
      </c>
      <c r="R63" s="11">
        <f t="shared" si="4"/>
        <v>8937</v>
      </c>
      <c r="S63" s="13">
        <v>0</v>
      </c>
      <c r="T63" s="11">
        <f t="shared" si="5"/>
        <v>8937</v>
      </c>
      <c r="U63" s="11">
        <v>292</v>
      </c>
      <c r="V63" s="13">
        <f t="shared" si="6"/>
        <v>9229</v>
      </c>
      <c r="W63" s="13">
        <f t="shared" si="7"/>
        <v>210278</v>
      </c>
      <c r="X63" s="13">
        <f t="shared" si="8"/>
        <v>175781</v>
      </c>
      <c r="Y63" s="13">
        <f t="shared" si="9"/>
        <v>49219</v>
      </c>
      <c r="Z63" s="11">
        <v>0</v>
      </c>
      <c r="AA63" s="13">
        <f t="shared" si="28"/>
        <v>225000</v>
      </c>
      <c r="AB63" s="13" t="str">
        <f t="shared" si="11"/>
        <v>C</v>
      </c>
      <c r="AC63" s="15">
        <f>IF(AB63="A",VLOOKUP($G63,'[1]Price Components'!$B:$AC,7,0),IF(AB63="B",VLOOKUP($G63,'[1]Price Components'!$B:$AC,8,0),IF(AB63="C",VLOOKUP($G63,'[1]Price Components'!$B:$AC,9,0),IF(AB63="E",15%,IF(AB63="D",VLOOKUP($G63,'[1]Price Components'!$B:$AC,10,0))))))</f>
        <v>0.1</v>
      </c>
      <c r="AD63" s="13">
        <f>ROUND(IF(AC63=0,VLOOKUP($G63,'[1]Price Components'!$B:$AC,11,0),IF(I63="BASIC",X63*AC63,AA63*AC63)),0)</f>
        <v>22500</v>
      </c>
      <c r="AE63" s="13">
        <f>ROUND(VLOOKUP($G63,'[1]Price Components'!$B:$AC,12,0),0)</f>
        <v>0</v>
      </c>
      <c r="AF63" s="16">
        <f>VLOOKUP($G63,'[1]Price Components'!$B:$AC,14,0)</f>
        <v>7.92E-3</v>
      </c>
      <c r="AG63" s="16">
        <f>VLOOKUP($G63,'[1]Price Components'!$B:$AC,15,0)</f>
        <v>8.2979999999999998E-3</v>
      </c>
      <c r="AH63" s="13">
        <f t="shared" si="12"/>
        <v>1693</v>
      </c>
      <c r="AI63" s="13">
        <f t="shared" si="13"/>
        <v>7740</v>
      </c>
      <c r="AJ63" s="13">
        <f t="shared" si="14"/>
        <v>1698</v>
      </c>
      <c r="AK63" s="13">
        <f t="shared" si="15"/>
        <v>11131</v>
      </c>
      <c r="AL63" s="13">
        <f t="shared" si="16"/>
        <v>258631</v>
      </c>
      <c r="AM63" s="17"/>
      <c r="AN63" s="18">
        <v>225000</v>
      </c>
      <c r="AO63" s="18">
        <f t="shared" si="17"/>
        <v>0</v>
      </c>
      <c r="AP63" s="18"/>
    </row>
    <row r="64" spans="1:42" ht="15.75" customHeight="1" x14ac:dyDescent="0.3">
      <c r="A64" s="7"/>
      <c r="B64" s="7"/>
      <c r="C64" s="7" t="str">
        <f t="shared" si="0"/>
        <v>VBFV60DN09</v>
      </c>
      <c r="D64" s="7" t="s">
        <v>44</v>
      </c>
      <c r="E64" s="7"/>
      <c r="F64" s="8">
        <v>350</v>
      </c>
      <c r="G64" s="9" t="s">
        <v>52</v>
      </c>
      <c r="H64" s="7" t="str">
        <f>VLOOKUP(G64,'[1]Price Components'!B:C,2,0)</f>
        <v>Jammu and Kashmir</v>
      </c>
      <c r="I64" s="7" t="str">
        <f>VLOOKUP(G64,'[1]Price Components'!B:D,3,0)</f>
        <v>EX-SHOWROOM</v>
      </c>
      <c r="J64" s="10">
        <f t="shared" si="1"/>
        <v>4.2498174596899835E-2</v>
      </c>
      <c r="K64" s="11">
        <v>166757</v>
      </c>
      <c r="L64" s="12">
        <f t="shared" si="2"/>
        <v>-1363.2274853382842</v>
      </c>
      <c r="M64" s="11">
        <v>165393.77251466172</v>
      </c>
      <c r="N64" s="8">
        <v>1279</v>
      </c>
      <c r="O64" s="13">
        <f>VLOOKUP(G64,'[1]Price Components'!B:E,4,0)</f>
        <v>1312</v>
      </c>
      <c r="P64" s="13">
        <f t="shared" si="3"/>
        <v>167985</v>
      </c>
      <c r="Q64" s="14">
        <f>ROUND(IF(F64&lt;500,VLOOKUP(G64,'[1]Price Components'!B:G,5,0),VLOOKUP(G64,'[1]Price Components'!B:G,6,0)),2)</f>
        <v>2272</v>
      </c>
      <c r="R64" s="11">
        <f t="shared" si="4"/>
        <v>9138</v>
      </c>
      <c r="S64" s="13">
        <v>0</v>
      </c>
      <c r="T64" s="11">
        <f t="shared" si="5"/>
        <v>9138</v>
      </c>
      <c r="U64" s="11">
        <v>292</v>
      </c>
      <c r="V64" s="13">
        <f t="shared" si="6"/>
        <v>9430</v>
      </c>
      <c r="W64" s="13">
        <f t="shared" si="7"/>
        <v>215021</v>
      </c>
      <c r="X64" s="13">
        <f t="shared" si="8"/>
        <v>179687</v>
      </c>
      <c r="Y64" s="13">
        <f t="shared" si="9"/>
        <v>50312</v>
      </c>
      <c r="Z64" s="11">
        <v>0</v>
      </c>
      <c r="AA64" s="13">
        <f t="shared" ref="AA64:AA65" si="29">ROUND(X64+Y64+Z64,0)+1</f>
        <v>230000</v>
      </c>
      <c r="AB64" s="13" t="str">
        <f t="shared" si="11"/>
        <v>C</v>
      </c>
      <c r="AC64" s="15">
        <f>IF(AB64="A",VLOOKUP($G64,'[1]Price Components'!$B:$AC,7,0),IF(AB64="B",VLOOKUP($G64,'[1]Price Components'!$B:$AC,8,0),IF(AB64="C",VLOOKUP($G64,'[1]Price Components'!$B:$AC,9,0),IF(AB64="E",15%,IF(AB64="D",VLOOKUP($G64,'[1]Price Components'!$B:$AC,10,0))))))</f>
        <v>0.1</v>
      </c>
      <c r="AD64" s="13">
        <f>ROUND(IF(AC64=0,VLOOKUP($G64,'[1]Price Components'!$B:$AC,11,0),IF(I64="BASIC",X64*AC64,AA64*AC64)),0)</f>
        <v>23000</v>
      </c>
      <c r="AE64" s="13">
        <f>ROUND(VLOOKUP($G64,'[1]Price Components'!$B:$AC,12,0),0)</f>
        <v>0</v>
      </c>
      <c r="AF64" s="16">
        <f>VLOOKUP($G64,'[1]Price Components'!$B:$AC,14,0)</f>
        <v>7.92E-3</v>
      </c>
      <c r="AG64" s="16">
        <f>VLOOKUP($G64,'[1]Price Components'!$B:$AC,15,0)</f>
        <v>8.2979999999999998E-3</v>
      </c>
      <c r="AH64" s="13">
        <f t="shared" si="12"/>
        <v>1731</v>
      </c>
      <c r="AI64" s="13">
        <f t="shared" si="13"/>
        <v>7740</v>
      </c>
      <c r="AJ64" s="13">
        <f t="shared" si="14"/>
        <v>1705</v>
      </c>
      <c r="AK64" s="13">
        <f t="shared" si="15"/>
        <v>11176</v>
      </c>
      <c r="AL64" s="13">
        <f t="shared" si="16"/>
        <v>264176</v>
      </c>
      <c r="AM64" s="17"/>
      <c r="AN64" s="18">
        <v>230000</v>
      </c>
      <c r="AO64" s="18">
        <f t="shared" si="17"/>
        <v>0</v>
      </c>
      <c r="AP64" s="18"/>
    </row>
    <row r="65" spans="1:42" ht="15.75" customHeight="1" x14ac:dyDescent="0.3">
      <c r="A65" s="7"/>
      <c r="B65" s="7"/>
      <c r="C65" s="7" t="str">
        <f t="shared" si="0"/>
        <v>VBFV60DN10</v>
      </c>
      <c r="D65" s="7" t="s">
        <v>44</v>
      </c>
      <c r="E65" s="7"/>
      <c r="F65" s="8">
        <v>350</v>
      </c>
      <c r="G65" s="9" t="s">
        <v>53</v>
      </c>
      <c r="H65" s="7" t="str">
        <f>VLOOKUP(G65,'[1]Price Components'!B:C,2,0)</f>
        <v>Karnataka</v>
      </c>
      <c r="I65" s="7" t="str">
        <f>VLOOKUP(G65,'[1]Price Components'!B:D,3,0)</f>
        <v>EX-SHOWROOM</v>
      </c>
      <c r="J65" s="10">
        <f t="shared" si="1"/>
        <v>4.2499028011774943E-2</v>
      </c>
      <c r="K65" s="11">
        <v>166757</v>
      </c>
      <c r="L65" s="12">
        <f t="shared" si="2"/>
        <v>-165.47585415875074</v>
      </c>
      <c r="M65" s="11">
        <v>166591.52414584125</v>
      </c>
      <c r="N65" s="8">
        <v>1279</v>
      </c>
      <c r="O65" s="13">
        <f>VLOOKUP(G65,'[1]Price Components'!B:E,4,0)</f>
        <v>920</v>
      </c>
      <c r="P65" s="13">
        <f t="shared" si="3"/>
        <v>168791</v>
      </c>
      <c r="Q65" s="14">
        <f>ROUND(IF(F65&lt;500,VLOOKUP(G65,'[1]Price Components'!B:G,5,0),VLOOKUP(G65,'[1]Price Components'!B:G,6,0)),2)</f>
        <v>1422</v>
      </c>
      <c r="R65" s="11">
        <f t="shared" si="4"/>
        <v>9182</v>
      </c>
      <c r="S65" s="13">
        <v>0</v>
      </c>
      <c r="T65" s="11">
        <f t="shared" si="5"/>
        <v>9182</v>
      </c>
      <c r="U65" s="11">
        <v>292</v>
      </c>
      <c r="V65" s="13">
        <f t="shared" si="6"/>
        <v>9474</v>
      </c>
      <c r="W65" s="13">
        <f t="shared" si="7"/>
        <v>216052</v>
      </c>
      <c r="X65" s="13">
        <f t="shared" si="8"/>
        <v>179687</v>
      </c>
      <c r="Y65" s="13">
        <f t="shared" si="9"/>
        <v>50312</v>
      </c>
      <c r="Z65" s="11">
        <v>0</v>
      </c>
      <c r="AA65" s="13">
        <f t="shared" si="29"/>
        <v>230000</v>
      </c>
      <c r="AB65" s="13" t="str">
        <f t="shared" si="11"/>
        <v>C</v>
      </c>
      <c r="AC65" s="15">
        <f>IF(AB65="A",VLOOKUP($G65,'[1]Price Components'!$B:$AC,7,0),IF(AB65="B",VLOOKUP($G65,'[1]Price Components'!$B:$AC,8,0),IF(AB65="C",VLOOKUP($G65,'[1]Price Components'!$B:$AC,9,0),IF(AB65="E",15%,IF(AB65="D",VLOOKUP($G65,'[1]Price Components'!$B:$AC,10,0))))))</f>
        <v>0.19980000000000001</v>
      </c>
      <c r="AD65" s="13">
        <f>ROUND(IF(AC65=0,VLOOKUP($G65,'[1]Price Components'!$B:$AC,11,0),IF(I65="BASIC",X65*AC65,AA65*AC65)),0)</f>
        <v>45954</v>
      </c>
      <c r="AE65" s="13">
        <f>ROUND(VLOOKUP($G65,'[1]Price Components'!$B:$AC,12,0),0)</f>
        <v>1062</v>
      </c>
      <c r="AF65" s="16">
        <f>VLOOKUP($G65,'[1]Price Components'!$B:$AC,14,0)</f>
        <v>7.92E-3</v>
      </c>
      <c r="AG65" s="16">
        <f>VLOOKUP($G65,'[1]Price Components'!$B:$AC,15,0)</f>
        <v>8.2979999999999998E-3</v>
      </c>
      <c r="AH65" s="13">
        <f t="shared" si="12"/>
        <v>1731</v>
      </c>
      <c r="AI65" s="13">
        <f t="shared" si="13"/>
        <v>7740</v>
      </c>
      <c r="AJ65" s="13">
        <f t="shared" si="14"/>
        <v>1705</v>
      </c>
      <c r="AK65" s="13">
        <f t="shared" si="15"/>
        <v>11176</v>
      </c>
      <c r="AL65" s="13">
        <f t="shared" si="16"/>
        <v>288192</v>
      </c>
      <c r="AM65" s="17"/>
      <c r="AN65" s="18">
        <f>230000</f>
        <v>230000</v>
      </c>
      <c r="AO65" s="18">
        <f t="shared" si="17"/>
        <v>0</v>
      </c>
      <c r="AP65" s="18"/>
    </row>
    <row r="66" spans="1:42" ht="15.75" customHeight="1" x14ac:dyDescent="0.3">
      <c r="A66" s="7"/>
      <c r="B66" s="7"/>
      <c r="C66" s="7" t="str">
        <f t="shared" si="0"/>
        <v>VBFV60RR10</v>
      </c>
      <c r="D66" s="7" t="s">
        <v>37</v>
      </c>
      <c r="E66" s="7"/>
      <c r="F66" s="8">
        <v>350</v>
      </c>
      <c r="G66" s="9" t="s">
        <v>53</v>
      </c>
      <c r="H66" s="7" t="str">
        <f>VLOOKUP(G66,'[1]Price Components'!B:C,2,0)</f>
        <v>Karnataka</v>
      </c>
      <c r="I66" s="7" t="str">
        <f>VLOOKUP(G66,'[1]Price Components'!B:D,3,0)</f>
        <v>EX-SHOWROOM</v>
      </c>
      <c r="J66" s="10">
        <f t="shared" si="1"/>
        <v>4.2500774878958564E-2</v>
      </c>
      <c r="K66" s="11">
        <v>144158</v>
      </c>
      <c r="L66" s="12">
        <f t="shared" si="2"/>
        <v>-165.2421875</v>
      </c>
      <c r="M66" s="11">
        <v>143992.7578125</v>
      </c>
      <c r="N66" s="8">
        <v>1279</v>
      </c>
      <c r="O66" s="13">
        <f>VLOOKUP(G66,'[1]Price Components'!B:E,4,0)</f>
        <v>920</v>
      </c>
      <c r="P66" s="13">
        <f t="shared" si="3"/>
        <v>146192</v>
      </c>
      <c r="Q66" s="14">
        <f>ROUND(IF(F66&lt;500,VLOOKUP(G66,'[1]Price Components'!B:G,5,0),VLOOKUP(G66,'[1]Price Components'!B:G,6,0)),2)</f>
        <v>1422</v>
      </c>
      <c r="R66" s="11">
        <f t="shared" si="4"/>
        <v>7953</v>
      </c>
      <c r="S66" s="13">
        <v>0</v>
      </c>
      <c r="T66" s="11">
        <f t="shared" si="5"/>
        <v>7953</v>
      </c>
      <c r="U66" s="11">
        <v>292</v>
      </c>
      <c r="V66" s="13">
        <f t="shared" si="6"/>
        <v>8245</v>
      </c>
      <c r="W66" s="13">
        <f t="shared" si="7"/>
        <v>187126</v>
      </c>
      <c r="X66" s="13">
        <f t="shared" si="8"/>
        <v>155859</v>
      </c>
      <c r="Y66" s="13">
        <f t="shared" si="9"/>
        <v>43641</v>
      </c>
      <c r="Z66" s="11">
        <v>0</v>
      </c>
      <c r="AA66" s="13">
        <f t="shared" ref="AA66:AA77" si="30">ROUND(X66+Y66+Z66,0)</f>
        <v>199500</v>
      </c>
      <c r="AB66" s="13" t="str">
        <f t="shared" si="11"/>
        <v>B</v>
      </c>
      <c r="AC66" s="15">
        <f>IF(AB66="A",VLOOKUP($G66,'[1]Price Components'!$B:$AC,7,0),IF(AB66="B",VLOOKUP($G66,'[1]Price Components'!$B:$AC,8,0),IF(AB66="C",VLOOKUP($G66,'[1]Price Components'!$B:$AC,9,0),IF(AB66="E",15%,IF(AB66="D",VLOOKUP($G66,'[1]Price Components'!$B:$AC,10,0))))))</f>
        <v>0.19980000000000001</v>
      </c>
      <c r="AD66" s="13">
        <f>ROUND(IF(AC66=0,VLOOKUP($G66,'[1]Price Components'!$B:$AC,11,0),IF(I66="BASIC",X66*AC66,AA66*AC66)),0)</f>
        <v>39860</v>
      </c>
      <c r="AE66" s="13">
        <f>ROUND(VLOOKUP($G66,'[1]Price Components'!$B:$AC,12,0),0)</f>
        <v>1062</v>
      </c>
      <c r="AF66" s="16">
        <f>VLOOKUP($G66,'[1]Price Components'!$B:$AC,14,0)</f>
        <v>7.92E-3</v>
      </c>
      <c r="AG66" s="16">
        <f>VLOOKUP($G66,'[1]Price Components'!$B:$AC,15,0)</f>
        <v>8.2979999999999998E-3</v>
      </c>
      <c r="AH66" s="13">
        <f t="shared" si="12"/>
        <v>1501</v>
      </c>
      <c r="AI66" s="13">
        <f t="shared" si="13"/>
        <v>7740</v>
      </c>
      <c r="AJ66" s="13">
        <f t="shared" si="14"/>
        <v>1663</v>
      </c>
      <c r="AK66" s="13">
        <f t="shared" si="15"/>
        <v>10904</v>
      </c>
      <c r="AL66" s="13">
        <f t="shared" si="16"/>
        <v>251326</v>
      </c>
      <c r="AM66" s="17"/>
      <c r="AN66" s="18">
        <v>199500</v>
      </c>
      <c r="AO66" s="18">
        <f t="shared" si="17"/>
        <v>0</v>
      </c>
      <c r="AP66" s="18"/>
    </row>
    <row r="67" spans="1:42" ht="15.75" customHeight="1" x14ac:dyDescent="0.3">
      <c r="A67" s="7"/>
      <c r="B67" s="7"/>
      <c r="C67" s="7" t="str">
        <f t="shared" si="0"/>
        <v>VBFV60EB10</v>
      </c>
      <c r="D67" s="7" t="s">
        <v>39</v>
      </c>
      <c r="E67" s="7"/>
      <c r="F67" s="8">
        <v>350</v>
      </c>
      <c r="G67" s="9" t="s">
        <v>53</v>
      </c>
      <c r="H67" s="7" t="str">
        <f>VLOOKUP(G67,'[1]Price Components'!B:C,2,0)</f>
        <v>Karnataka</v>
      </c>
      <c r="I67" s="7" t="str">
        <f>VLOOKUP(G67,'[1]Price Components'!B:D,3,0)</f>
        <v>EX-SHOWROOM</v>
      </c>
      <c r="J67" s="10">
        <f t="shared" si="1"/>
        <v>4.2500774878958564E-2</v>
      </c>
      <c r="K67" s="11">
        <v>144158</v>
      </c>
      <c r="L67" s="12">
        <f t="shared" si="2"/>
        <v>-165.2421875</v>
      </c>
      <c r="M67" s="11">
        <v>143992.7578125</v>
      </c>
      <c r="N67" s="8">
        <v>1279</v>
      </c>
      <c r="O67" s="13">
        <f>VLOOKUP(G67,'[1]Price Components'!B:E,4,0)</f>
        <v>920</v>
      </c>
      <c r="P67" s="13">
        <f t="shared" si="3"/>
        <v>146192</v>
      </c>
      <c r="Q67" s="14">
        <f>ROUND(IF(F67&lt;500,VLOOKUP(G67,'[1]Price Components'!B:G,5,0),VLOOKUP(G67,'[1]Price Components'!B:G,6,0)),2)</f>
        <v>1422</v>
      </c>
      <c r="R67" s="11">
        <f t="shared" si="4"/>
        <v>7953</v>
      </c>
      <c r="S67" s="13">
        <v>0</v>
      </c>
      <c r="T67" s="11">
        <f t="shared" si="5"/>
        <v>7953</v>
      </c>
      <c r="U67" s="11">
        <v>292</v>
      </c>
      <c r="V67" s="13">
        <f t="shared" si="6"/>
        <v>8245</v>
      </c>
      <c r="W67" s="13">
        <f t="shared" si="7"/>
        <v>187126</v>
      </c>
      <c r="X67" s="13">
        <f t="shared" si="8"/>
        <v>155859</v>
      </c>
      <c r="Y67" s="13">
        <f t="shared" si="9"/>
        <v>43641</v>
      </c>
      <c r="Z67" s="11">
        <v>0</v>
      </c>
      <c r="AA67" s="13">
        <f t="shared" si="30"/>
        <v>199500</v>
      </c>
      <c r="AB67" s="13" t="str">
        <f t="shared" si="11"/>
        <v>B</v>
      </c>
      <c r="AC67" s="15">
        <f>IF(AB67="A",VLOOKUP($G67,'[1]Price Components'!$B:$AC,7,0),IF(AB67="B",VLOOKUP($G67,'[1]Price Components'!$B:$AC,8,0),IF(AB67="C",VLOOKUP($G67,'[1]Price Components'!$B:$AC,9,0),IF(AB67="E",15%,IF(AB67="D",VLOOKUP($G67,'[1]Price Components'!$B:$AC,10,0))))))</f>
        <v>0.19980000000000001</v>
      </c>
      <c r="AD67" s="13">
        <f>ROUND(IF(AC67=0,VLOOKUP($G67,'[1]Price Components'!$B:$AC,11,0),IF(I67="BASIC",X67*AC67,AA67*AC67)),0)</f>
        <v>39860</v>
      </c>
      <c r="AE67" s="13">
        <f>ROUND(VLOOKUP($G67,'[1]Price Components'!$B:$AC,12,0),0)</f>
        <v>1062</v>
      </c>
      <c r="AF67" s="16">
        <f>VLOOKUP($G67,'[1]Price Components'!$B:$AC,14,0)</f>
        <v>7.92E-3</v>
      </c>
      <c r="AG67" s="16">
        <f>VLOOKUP($G67,'[1]Price Components'!$B:$AC,15,0)</f>
        <v>8.2979999999999998E-3</v>
      </c>
      <c r="AH67" s="13">
        <f t="shared" si="12"/>
        <v>1501</v>
      </c>
      <c r="AI67" s="13">
        <f t="shared" si="13"/>
        <v>7740</v>
      </c>
      <c r="AJ67" s="13">
        <f t="shared" si="14"/>
        <v>1663</v>
      </c>
      <c r="AK67" s="13">
        <f t="shared" si="15"/>
        <v>10904</v>
      </c>
      <c r="AL67" s="13">
        <f t="shared" si="16"/>
        <v>251326</v>
      </c>
      <c r="AM67" s="17"/>
      <c r="AN67" s="18">
        <v>199500</v>
      </c>
      <c r="AO67" s="18">
        <f t="shared" si="17"/>
        <v>0</v>
      </c>
      <c r="AP67" s="18"/>
    </row>
    <row r="68" spans="1:42" ht="15.75" customHeight="1" x14ac:dyDescent="0.3">
      <c r="A68" s="7"/>
      <c r="B68" s="7"/>
      <c r="C68" s="7" t="str">
        <f t="shared" si="0"/>
        <v>VBFV60HG10</v>
      </c>
      <c r="D68" s="7" t="s">
        <v>40</v>
      </c>
      <c r="E68" s="7"/>
      <c r="F68" s="8">
        <v>350</v>
      </c>
      <c r="G68" s="9" t="s">
        <v>53</v>
      </c>
      <c r="H68" s="7" t="str">
        <f>VLOOKUP(G68,'[1]Price Components'!B:C,2,0)</f>
        <v>Karnataka</v>
      </c>
      <c r="I68" s="7" t="str">
        <f>VLOOKUP(G68,'[1]Price Components'!B:D,3,0)</f>
        <v>EX-SHOWROOM</v>
      </c>
      <c r="J68" s="10">
        <f t="shared" si="1"/>
        <v>4.2498497870895269E-2</v>
      </c>
      <c r="K68" s="11">
        <v>147492</v>
      </c>
      <c r="L68" s="12">
        <f t="shared" si="2"/>
        <v>-163.79764824121958</v>
      </c>
      <c r="M68" s="11">
        <v>147328.20235175878</v>
      </c>
      <c r="N68" s="8">
        <v>1279</v>
      </c>
      <c r="O68" s="13">
        <f>VLOOKUP(G68,'[1]Price Components'!B:E,4,0)</f>
        <v>920</v>
      </c>
      <c r="P68" s="13">
        <f t="shared" si="3"/>
        <v>149527</v>
      </c>
      <c r="Q68" s="14">
        <f>ROUND(IF(F68&lt;500,VLOOKUP(G68,'[1]Price Components'!B:G,5,0),VLOOKUP(G68,'[1]Price Components'!B:G,6,0)),2)</f>
        <v>1422</v>
      </c>
      <c r="R68" s="11">
        <f t="shared" si="4"/>
        <v>8134</v>
      </c>
      <c r="S68" s="13">
        <v>0</v>
      </c>
      <c r="T68" s="11">
        <f t="shared" si="5"/>
        <v>8134</v>
      </c>
      <c r="U68" s="11">
        <v>292</v>
      </c>
      <c r="V68" s="13">
        <f t="shared" si="6"/>
        <v>8426</v>
      </c>
      <c r="W68" s="13">
        <f t="shared" si="7"/>
        <v>191395</v>
      </c>
      <c r="X68" s="13">
        <f t="shared" si="8"/>
        <v>159375</v>
      </c>
      <c r="Y68" s="13">
        <f t="shared" si="9"/>
        <v>44625</v>
      </c>
      <c r="Z68" s="11">
        <v>0</v>
      </c>
      <c r="AA68" s="13">
        <f t="shared" si="30"/>
        <v>204000</v>
      </c>
      <c r="AB68" s="13" t="str">
        <f t="shared" si="11"/>
        <v>C</v>
      </c>
      <c r="AC68" s="15">
        <f>IF(AB68="A",VLOOKUP($G68,'[1]Price Components'!$B:$AC,7,0),IF(AB68="B",VLOOKUP($G68,'[1]Price Components'!$B:$AC,8,0),IF(AB68="C",VLOOKUP($G68,'[1]Price Components'!$B:$AC,9,0),IF(AB68="E",15%,IF(AB68="D",VLOOKUP($G68,'[1]Price Components'!$B:$AC,10,0))))))</f>
        <v>0.19980000000000001</v>
      </c>
      <c r="AD68" s="13">
        <f>ROUND(IF(AC68=0,VLOOKUP($G68,'[1]Price Components'!$B:$AC,11,0),IF(I68="BASIC",X68*AC68,AA68*AC68)),0)</f>
        <v>40759</v>
      </c>
      <c r="AE68" s="13">
        <f>ROUND(VLOOKUP($G68,'[1]Price Components'!$B:$AC,12,0),0)</f>
        <v>1062</v>
      </c>
      <c r="AF68" s="16">
        <f>VLOOKUP($G68,'[1]Price Components'!$B:$AC,14,0)</f>
        <v>7.92E-3</v>
      </c>
      <c r="AG68" s="16">
        <f>VLOOKUP($G68,'[1]Price Components'!$B:$AC,15,0)</f>
        <v>8.2979999999999998E-3</v>
      </c>
      <c r="AH68" s="13">
        <f t="shared" si="12"/>
        <v>1535</v>
      </c>
      <c r="AI68" s="13">
        <f t="shared" si="13"/>
        <v>7740</v>
      </c>
      <c r="AJ68" s="13">
        <f t="shared" si="14"/>
        <v>1670</v>
      </c>
      <c r="AK68" s="13">
        <f t="shared" si="15"/>
        <v>10945</v>
      </c>
      <c r="AL68" s="13">
        <f t="shared" si="16"/>
        <v>256766</v>
      </c>
      <c r="AM68" s="17"/>
      <c r="AN68" s="18">
        <v>204000</v>
      </c>
      <c r="AO68" s="18">
        <f t="shared" si="17"/>
        <v>0</v>
      </c>
      <c r="AP68" s="18"/>
    </row>
    <row r="69" spans="1:42" ht="15.75" customHeight="1" x14ac:dyDescent="0.3">
      <c r="A69" s="7"/>
      <c r="B69" s="7"/>
      <c r="C69" s="7" t="str">
        <f t="shared" si="0"/>
        <v>VBFV60SE10</v>
      </c>
      <c r="D69" s="7" t="s">
        <v>41</v>
      </c>
      <c r="E69" s="7"/>
      <c r="F69" s="8">
        <v>350</v>
      </c>
      <c r="G69" s="9" t="s">
        <v>53</v>
      </c>
      <c r="H69" s="7" t="str">
        <f>VLOOKUP(G69,'[1]Price Components'!B:C,2,0)</f>
        <v>Karnataka</v>
      </c>
      <c r="I69" s="7" t="str">
        <f>VLOOKUP(G69,'[1]Price Components'!B:D,3,0)</f>
        <v>EX-SHOWROOM</v>
      </c>
      <c r="J69" s="10">
        <f t="shared" si="1"/>
        <v>4.250030822340032E-2</v>
      </c>
      <c r="K69" s="11">
        <v>156384</v>
      </c>
      <c r="L69" s="12">
        <f t="shared" si="2"/>
        <v>-165.19958313595271</v>
      </c>
      <c r="M69" s="11">
        <v>156218.80041686405</v>
      </c>
      <c r="N69" s="8">
        <v>1279</v>
      </c>
      <c r="O69" s="13">
        <f>VLOOKUP(G69,'[1]Price Components'!B:E,4,0)</f>
        <v>920</v>
      </c>
      <c r="P69" s="13">
        <f t="shared" si="3"/>
        <v>158418</v>
      </c>
      <c r="Q69" s="14">
        <f>ROUND(IF(F69&lt;500,VLOOKUP(G69,'[1]Price Components'!B:G,5,0),VLOOKUP(G69,'[1]Price Components'!B:G,6,0)),2)</f>
        <v>1422</v>
      </c>
      <c r="R69" s="11">
        <f t="shared" si="4"/>
        <v>8618</v>
      </c>
      <c r="S69" s="13">
        <v>0</v>
      </c>
      <c r="T69" s="11">
        <f t="shared" si="5"/>
        <v>8618</v>
      </c>
      <c r="U69" s="11">
        <v>292</v>
      </c>
      <c r="V69" s="13">
        <f t="shared" si="6"/>
        <v>8910</v>
      </c>
      <c r="W69" s="13">
        <f t="shared" si="7"/>
        <v>202775</v>
      </c>
      <c r="X69" s="13">
        <f t="shared" si="8"/>
        <v>168750</v>
      </c>
      <c r="Y69" s="13">
        <f t="shared" si="9"/>
        <v>47250</v>
      </c>
      <c r="Z69" s="11">
        <v>0</v>
      </c>
      <c r="AA69" s="13">
        <f t="shared" si="30"/>
        <v>216000</v>
      </c>
      <c r="AB69" s="13" t="str">
        <f t="shared" si="11"/>
        <v>C</v>
      </c>
      <c r="AC69" s="15">
        <f>IF(AB69="A",VLOOKUP($G69,'[1]Price Components'!$B:$AC,7,0),IF(AB69="B",VLOOKUP($G69,'[1]Price Components'!$B:$AC,8,0),IF(AB69="C",VLOOKUP($G69,'[1]Price Components'!$B:$AC,9,0),IF(AB69="E",15%,IF(AB69="D",VLOOKUP($G69,'[1]Price Components'!$B:$AC,10,0))))))</f>
        <v>0.19980000000000001</v>
      </c>
      <c r="AD69" s="13">
        <f>ROUND(IF(AC69=0,VLOOKUP($G69,'[1]Price Components'!$B:$AC,11,0),IF(I69="BASIC",X69*AC69,AA69*AC69)),0)</f>
        <v>43157</v>
      </c>
      <c r="AE69" s="13">
        <f>ROUND(VLOOKUP($G69,'[1]Price Components'!$B:$AC,12,0),0)</f>
        <v>1062</v>
      </c>
      <c r="AF69" s="16">
        <f>VLOOKUP($G69,'[1]Price Components'!$B:$AC,14,0)</f>
        <v>7.92E-3</v>
      </c>
      <c r="AG69" s="16">
        <f>VLOOKUP($G69,'[1]Price Components'!$B:$AC,15,0)</f>
        <v>8.2979999999999998E-3</v>
      </c>
      <c r="AH69" s="13">
        <f t="shared" si="12"/>
        <v>1625</v>
      </c>
      <c r="AI69" s="13">
        <f t="shared" si="13"/>
        <v>7740</v>
      </c>
      <c r="AJ69" s="13">
        <f t="shared" si="14"/>
        <v>1686</v>
      </c>
      <c r="AK69" s="13">
        <f t="shared" si="15"/>
        <v>11051</v>
      </c>
      <c r="AL69" s="13">
        <f t="shared" si="16"/>
        <v>271270</v>
      </c>
      <c r="AM69" s="17"/>
      <c r="AN69" s="18">
        <v>216000</v>
      </c>
      <c r="AO69" s="18">
        <f t="shared" si="17"/>
        <v>0</v>
      </c>
      <c r="AP69" s="18"/>
    </row>
    <row r="70" spans="1:42" ht="15.75" customHeight="1" x14ac:dyDescent="0.3">
      <c r="A70" s="7"/>
      <c r="B70" s="7"/>
      <c r="C70" s="7" t="str">
        <f t="shared" si="0"/>
        <v>VBFV60GM10</v>
      </c>
      <c r="D70" s="7" t="s">
        <v>42</v>
      </c>
      <c r="E70" s="7"/>
      <c r="F70" s="8">
        <v>350</v>
      </c>
      <c r="G70" s="9" t="s">
        <v>53</v>
      </c>
      <c r="H70" s="7" t="str">
        <f>VLOOKUP(G70,'[1]Price Components'!B:C,2,0)</f>
        <v>Karnataka</v>
      </c>
      <c r="I70" s="7" t="str">
        <f>VLOOKUP(G70,'[1]Price Components'!B:D,3,0)</f>
        <v>EX-SHOWROOM</v>
      </c>
      <c r="J70" s="10">
        <f t="shared" si="1"/>
        <v>4.2501538024703044E-2</v>
      </c>
      <c r="K70" s="11">
        <v>163052</v>
      </c>
      <c r="L70" s="12">
        <f t="shared" si="2"/>
        <v>-165.19997115177102</v>
      </c>
      <c r="M70" s="11">
        <v>162886.80002884823</v>
      </c>
      <c r="N70" s="8">
        <v>1279</v>
      </c>
      <c r="O70" s="13">
        <f>VLOOKUP(G70,'[1]Price Components'!B:E,4,0)</f>
        <v>920</v>
      </c>
      <c r="P70" s="13">
        <f t="shared" si="3"/>
        <v>165086</v>
      </c>
      <c r="Q70" s="14">
        <f>ROUND(IF(F70&lt;500,VLOOKUP(G70,'[1]Price Components'!B:G,5,0),VLOOKUP(G70,'[1]Price Components'!B:G,6,0)),2)</f>
        <v>1422</v>
      </c>
      <c r="R70" s="11">
        <f t="shared" si="4"/>
        <v>8981</v>
      </c>
      <c r="S70" s="13">
        <v>0</v>
      </c>
      <c r="T70" s="11">
        <f t="shared" si="5"/>
        <v>8981</v>
      </c>
      <c r="U70" s="11">
        <v>292</v>
      </c>
      <c r="V70" s="13">
        <f t="shared" si="6"/>
        <v>9273</v>
      </c>
      <c r="W70" s="13">
        <f t="shared" si="7"/>
        <v>211310</v>
      </c>
      <c r="X70" s="13">
        <f t="shared" si="8"/>
        <v>175781</v>
      </c>
      <c r="Y70" s="13">
        <f t="shared" si="9"/>
        <v>49219</v>
      </c>
      <c r="Z70" s="11">
        <v>0</v>
      </c>
      <c r="AA70" s="13">
        <f t="shared" si="30"/>
        <v>225000</v>
      </c>
      <c r="AB70" s="13" t="str">
        <f t="shared" si="11"/>
        <v>C</v>
      </c>
      <c r="AC70" s="15">
        <f>IF(AB70="A",VLOOKUP($G70,'[1]Price Components'!$B:$AC,7,0),IF(AB70="B",VLOOKUP($G70,'[1]Price Components'!$B:$AC,8,0),IF(AB70="C",VLOOKUP($G70,'[1]Price Components'!$B:$AC,9,0),IF(AB70="E",15%,IF(AB70="D",VLOOKUP($G70,'[1]Price Components'!$B:$AC,10,0))))))</f>
        <v>0.19980000000000001</v>
      </c>
      <c r="AD70" s="13">
        <f>ROUND(IF(AC70=0,VLOOKUP($G70,'[1]Price Components'!$B:$AC,11,0),IF(I70="BASIC",X70*AC70,AA70*AC70)),0)</f>
        <v>44955</v>
      </c>
      <c r="AE70" s="13">
        <f>ROUND(VLOOKUP($G70,'[1]Price Components'!$B:$AC,12,0),0)</f>
        <v>1062</v>
      </c>
      <c r="AF70" s="16">
        <f>VLOOKUP($G70,'[1]Price Components'!$B:$AC,14,0)</f>
        <v>7.92E-3</v>
      </c>
      <c r="AG70" s="16">
        <f>VLOOKUP($G70,'[1]Price Components'!$B:$AC,15,0)</f>
        <v>8.2979999999999998E-3</v>
      </c>
      <c r="AH70" s="13">
        <f t="shared" si="12"/>
        <v>1693</v>
      </c>
      <c r="AI70" s="13">
        <f t="shared" si="13"/>
        <v>7740</v>
      </c>
      <c r="AJ70" s="13">
        <f t="shared" si="14"/>
        <v>1698</v>
      </c>
      <c r="AK70" s="13">
        <f t="shared" si="15"/>
        <v>11131</v>
      </c>
      <c r="AL70" s="13">
        <f t="shared" si="16"/>
        <v>282148</v>
      </c>
      <c r="AM70" s="17"/>
      <c r="AN70" s="18">
        <v>225000</v>
      </c>
      <c r="AO70" s="18">
        <f t="shared" si="17"/>
        <v>0</v>
      </c>
      <c r="AP70" s="18"/>
    </row>
    <row r="71" spans="1:42" ht="15.75" customHeight="1" x14ac:dyDescent="0.3">
      <c r="A71" s="7"/>
      <c r="B71" s="7"/>
      <c r="C71" s="7" t="str">
        <f t="shared" si="0"/>
        <v>VBFV60SB10</v>
      </c>
      <c r="D71" s="7" t="s">
        <v>43</v>
      </c>
      <c r="E71" s="7"/>
      <c r="F71" s="8">
        <v>350</v>
      </c>
      <c r="G71" s="9" t="s">
        <v>53</v>
      </c>
      <c r="H71" s="7" t="str">
        <f>VLOOKUP(G71,'[1]Price Components'!B:C,2,0)</f>
        <v>Karnataka</v>
      </c>
      <c r="I71" s="7" t="str">
        <f>VLOOKUP(G71,'[1]Price Components'!B:D,3,0)</f>
        <v>EX-SHOWROOM</v>
      </c>
      <c r="J71" s="10">
        <f t="shared" si="1"/>
        <v>4.2501538024703044E-2</v>
      </c>
      <c r="K71" s="11">
        <v>163052</v>
      </c>
      <c r="L71" s="12">
        <f t="shared" si="2"/>
        <v>-165.19997115177102</v>
      </c>
      <c r="M71" s="11">
        <v>162886.80002884823</v>
      </c>
      <c r="N71" s="8">
        <v>1279</v>
      </c>
      <c r="O71" s="13">
        <f>VLOOKUP(G71,'[1]Price Components'!B:E,4,0)</f>
        <v>920</v>
      </c>
      <c r="P71" s="13">
        <f t="shared" si="3"/>
        <v>165086</v>
      </c>
      <c r="Q71" s="14">
        <f>ROUND(IF(F71&lt;500,VLOOKUP(G71,'[1]Price Components'!B:G,5,0),VLOOKUP(G71,'[1]Price Components'!B:G,6,0)),2)</f>
        <v>1422</v>
      </c>
      <c r="R71" s="11">
        <f t="shared" si="4"/>
        <v>8981</v>
      </c>
      <c r="S71" s="13">
        <v>0</v>
      </c>
      <c r="T71" s="11">
        <f t="shared" si="5"/>
        <v>8981</v>
      </c>
      <c r="U71" s="11">
        <v>292</v>
      </c>
      <c r="V71" s="13">
        <f t="shared" si="6"/>
        <v>9273</v>
      </c>
      <c r="W71" s="13">
        <f t="shared" si="7"/>
        <v>211310</v>
      </c>
      <c r="X71" s="13">
        <f t="shared" si="8"/>
        <v>175781</v>
      </c>
      <c r="Y71" s="13">
        <f t="shared" si="9"/>
        <v>49219</v>
      </c>
      <c r="Z71" s="11">
        <v>0</v>
      </c>
      <c r="AA71" s="13">
        <f t="shared" si="30"/>
        <v>225000</v>
      </c>
      <c r="AB71" s="13" t="str">
        <f t="shared" si="11"/>
        <v>C</v>
      </c>
      <c r="AC71" s="15">
        <f>IF(AB71="A",VLOOKUP($G71,'[1]Price Components'!$B:$AC,7,0),IF(AB71="B",VLOOKUP($G71,'[1]Price Components'!$B:$AC,8,0),IF(AB71="C",VLOOKUP($G71,'[1]Price Components'!$B:$AC,9,0),IF(AB71="E",15%,IF(AB71="D",VLOOKUP($G71,'[1]Price Components'!$B:$AC,10,0))))))</f>
        <v>0.19980000000000001</v>
      </c>
      <c r="AD71" s="13">
        <f>ROUND(IF(AC71=0,VLOOKUP($G71,'[1]Price Components'!$B:$AC,11,0),IF(I71="BASIC",X71*AC71,AA71*AC71)),0)</f>
        <v>44955</v>
      </c>
      <c r="AE71" s="13">
        <f>ROUND(VLOOKUP($G71,'[1]Price Components'!$B:$AC,12,0),0)</f>
        <v>1062</v>
      </c>
      <c r="AF71" s="16">
        <f>VLOOKUP($G71,'[1]Price Components'!$B:$AC,14,0)</f>
        <v>7.92E-3</v>
      </c>
      <c r="AG71" s="16">
        <f>VLOOKUP($G71,'[1]Price Components'!$B:$AC,15,0)</f>
        <v>8.2979999999999998E-3</v>
      </c>
      <c r="AH71" s="13">
        <f t="shared" si="12"/>
        <v>1693</v>
      </c>
      <c r="AI71" s="13">
        <f t="shared" si="13"/>
        <v>7740</v>
      </c>
      <c r="AJ71" s="13">
        <f t="shared" si="14"/>
        <v>1698</v>
      </c>
      <c r="AK71" s="13">
        <f t="shared" si="15"/>
        <v>11131</v>
      </c>
      <c r="AL71" s="13">
        <f t="shared" si="16"/>
        <v>282148</v>
      </c>
      <c r="AM71" s="17"/>
      <c r="AN71" s="18">
        <v>225000</v>
      </c>
      <c r="AO71" s="18">
        <f t="shared" si="17"/>
        <v>0</v>
      </c>
      <c r="AP71" s="18"/>
    </row>
    <row r="72" spans="1:42" ht="15.75" customHeight="1" x14ac:dyDescent="0.3">
      <c r="A72" s="7"/>
      <c r="B72" s="7"/>
      <c r="C72" s="7" t="str">
        <f t="shared" si="0"/>
        <v>VBFV60RR11</v>
      </c>
      <c r="D72" s="7" t="s">
        <v>37</v>
      </c>
      <c r="E72" s="7"/>
      <c r="F72" s="8">
        <v>350</v>
      </c>
      <c r="G72" s="9" t="s">
        <v>54</v>
      </c>
      <c r="H72" s="7" t="str">
        <f>VLOOKUP(G72,'[1]Price Components'!B:C,2,0)</f>
        <v>Kerala</v>
      </c>
      <c r="I72" s="7" t="str">
        <f>VLOOKUP(G72,'[1]Price Components'!B:D,3,0)</f>
        <v>EX-SHOWROOM</v>
      </c>
      <c r="J72" s="10">
        <f t="shared" si="1"/>
        <v>4.2501657505828003E-2</v>
      </c>
      <c r="K72" s="11">
        <v>144158</v>
      </c>
      <c r="L72" s="12">
        <f t="shared" si="2"/>
        <v>-11</v>
      </c>
      <c r="M72" s="11">
        <v>144147</v>
      </c>
      <c r="N72" s="8">
        <v>1279</v>
      </c>
      <c r="O72" s="13">
        <f>VLOOKUP(G72,'[1]Price Components'!B:E,4,0)</f>
        <v>690</v>
      </c>
      <c r="P72" s="13">
        <f t="shared" si="3"/>
        <v>146116</v>
      </c>
      <c r="Q72" s="14">
        <f>ROUND(IF(F72&lt;500,VLOOKUP(G72,'[1]Price Components'!B:G,5,0),VLOOKUP(G72,'[1]Price Components'!B:G,6,0)),2)</f>
        <v>1104</v>
      </c>
      <c r="R72" s="11">
        <f t="shared" si="4"/>
        <v>7949</v>
      </c>
      <c r="S72" s="13">
        <v>0</v>
      </c>
      <c r="T72" s="11">
        <f t="shared" si="5"/>
        <v>7949</v>
      </c>
      <c r="U72" s="11">
        <v>292</v>
      </c>
      <c r="V72" s="13">
        <f t="shared" si="6"/>
        <v>8241</v>
      </c>
      <c r="W72" s="13">
        <f t="shared" si="7"/>
        <v>187028</v>
      </c>
      <c r="X72" s="13">
        <f t="shared" si="8"/>
        <v>155461</v>
      </c>
      <c r="Y72" s="13">
        <f t="shared" si="9"/>
        <v>43529</v>
      </c>
      <c r="Z72" s="11">
        <v>0</v>
      </c>
      <c r="AA72" s="13">
        <f t="shared" si="30"/>
        <v>198990</v>
      </c>
      <c r="AB72" s="13" t="str">
        <f t="shared" si="11"/>
        <v>B</v>
      </c>
      <c r="AC72" s="15">
        <f>IF(AB72="A",VLOOKUP($G72,'[1]Price Components'!$B:$AC,7,0),IF(AB72="B",VLOOKUP($G72,'[1]Price Components'!$B:$AC,8,0),IF(AB72="C",VLOOKUP($G72,'[1]Price Components'!$B:$AC,9,0),IF(AB72="E",15%,IF(AB72="D",VLOOKUP($G72,'[1]Price Components'!$B:$AC,10,0))))))</f>
        <v>0.15</v>
      </c>
      <c r="AD72" s="13">
        <f>ROUND(IF(AC72=0,VLOOKUP($G72,'[1]Price Components'!$B:$AC,11,0),IF(I72="BASIC",X72*AC72,AA72*AC72)),0)</f>
        <v>29849</v>
      </c>
      <c r="AE72" s="13">
        <f>ROUND(VLOOKUP($G72,'[1]Price Components'!$B:$AC,12,0),0)</f>
        <v>705</v>
      </c>
      <c r="AF72" s="16">
        <f>VLOOKUP($G72,'[1]Price Components'!$B:$AC,14,0)</f>
        <v>7.92E-3</v>
      </c>
      <c r="AG72" s="16">
        <f>VLOOKUP($G72,'[1]Price Components'!$B:$AC,15,0)</f>
        <v>8.2979999999999998E-3</v>
      </c>
      <c r="AH72" s="13">
        <f t="shared" si="12"/>
        <v>1497</v>
      </c>
      <c r="AI72" s="13">
        <f t="shared" si="13"/>
        <v>7740</v>
      </c>
      <c r="AJ72" s="13">
        <f t="shared" si="14"/>
        <v>1663</v>
      </c>
      <c r="AK72" s="13">
        <f t="shared" si="15"/>
        <v>10900</v>
      </c>
      <c r="AL72" s="13">
        <f t="shared" si="16"/>
        <v>240444</v>
      </c>
      <c r="AM72" s="18"/>
      <c r="AN72" s="18">
        <v>198990</v>
      </c>
      <c r="AO72" s="18">
        <f t="shared" si="17"/>
        <v>0</v>
      </c>
      <c r="AP72" s="18"/>
    </row>
    <row r="73" spans="1:42" ht="15.75" customHeight="1" x14ac:dyDescent="0.3">
      <c r="A73" s="7"/>
      <c r="B73" s="7"/>
      <c r="C73" s="7" t="str">
        <f t="shared" si="0"/>
        <v>VBFV60EB11</v>
      </c>
      <c r="D73" s="7" t="s">
        <v>39</v>
      </c>
      <c r="E73" s="7"/>
      <c r="F73" s="8">
        <v>350</v>
      </c>
      <c r="G73" s="9" t="s">
        <v>54</v>
      </c>
      <c r="H73" s="7" t="str">
        <f>VLOOKUP(G73,'[1]Price Components'!B:C,2,0)</f>
        <v>Kerala</v>
      </c>
      <c r="I73" s="7" t="str">
        <f>VLOOKUP(G73,'[1]Price Components'!B:D,3,0)</f>
        <v>EX-SHOWROOM</v>
      </c>
      <c r="J73" s="10">
        <f t="shared" si="1"/>
        <v>4.2501657505828003E-2</v>
      </c>
      <c r="K73" s="11">
        <v>144158</v>
      </c>
      <c r="L73" s="12">
        <f t="shared" si="2"/>
        <v>-11</v>
      </c>
      <c r="M73" s="11">
        <v>144147</v>
      </c>
      <c r="N73" s="8">
        <v>1279</v>
      </c>
      <c r="O73" s="13">
        <f>VLOOKUP(G73,'[1]Price Components'!B:E,4,0)</f>
        <v>690</v>
      </c>
      <c r="P73" s="13">
        <f t="shared" si="3"/>
        <v>146116</v>
      </c>
      <c r="Q73" s="14">
        <f>ROUND(IF(F73&lt;500,VLOOKUP(G73,'[1]Price Components'!B:G,5,0),VLOOKUP(G73,'[1]Price Components'!B:G,6,0)),2)</f>
        <v>1104</v>
      </c>
      <c r="R73" s="11">
        <f t="shared" si="4"/>
        <v>7949</v>
      </c>
      <c r="S73" s="13">
        <v>0</v>
      </c>
      <c r="T73" s="11">
        <f t="shared" si="5"/>
        <v>7949</v>
      </c>
      <c r="U73" s="11">
        <v>292</v>
      </c>
      <c r="V73" s="13">
        <f t="shared" si="6"/>
        <v>8241</v>
      </c>
      <c r="W73" s="13">
        <f t="shared" si="7"/>
        <v>187028</v>
      </c>
      <c r="X73" s="13">
        <f t="shared" si="8"/>
        <v>155461</v>
      </c>
      <c r="Y73" s="13">
        <f t="shared" si="9"/>
        <v>43529</v>
      </c>
      <c r="Z73" s="11">
        <v>0</v>
      </c>
      <c r="AA73" s="13">
        <f t="shared" si="30"/>
        <v>198990</v>
      </c>
      <c r="AB73" s="13" t="str">
        <f t="shared" si="11"/>
        <v>B</v>
      </c>
      <c r="AC73" s="15">
        <f>IF(AB73="A",VLOOKUP($G73,'[1]Price Components'!$B:$AC,7,0),IF(AB73="B",VLOOKUP($G73,'[1]Price Components'!$B:$AC,8,0),IF(AB73="C",VLOOKUP($G73,'[1]Price Components'!$B:$AC,9,0),IF(AB73="E",15%,IF(AB73="D",VLOOKUP($G73,'[1]Price Components'!$B:$AC,10,0))))))</f>
        <v>0.15</v>
      </c>
      <c r="AD73" s="13">
        <f>ROUND(IF(AC73=0,VLOOKUP($G73,'[1]Price Components'!$B:$AC,11,0),IF(I73="BASIC",X73*AC73,AA73*AC73)),0)</f>
        <v>29849</v>
      </c>
      <c r="AE73" s="13">
        <f>ROUND(VLOOKUP($G73,'[1]Price Components'!$B:$AC,12,0),0)</f>
        <v>705</v>
      </c>
      <c r="AF73" s="16">
        <f>VLOOKUP($G73,'[1]Price Components'!$B:$AC,14,0)</f>
        <v>7.92E-3</v>
      </c>
      <c r="AG73" s="16">
        <f>VLOOKUP($G73,'[1]Price Components'!$B:$AC,15,0)</f>
        <v>8.2979999999999998E-3</v>
      </c>
      <c r="AH73" s="13">
        <f t="shared" si="12"/>
        <v>1497</v>
      </c>
      <c r="AI73" s="13">
        <f t="shared" si="13"/>
        <v>7740</v>
      </c>
      <c r="AJ73" s="13">
        <f t="shared" si="14"/>
        <v>1663</v>
      </c>
      <c r="AK73" s="13">
        <f t="shared" si="15"/>
        <v>10900</v>
      </c>
      <c r="AL73" s="13">
        <f t="shared" si="16"/>
        <v>240444</v>
      </c>
      <c r="AM73" s="18"/>
      <c r="AN73" s="18">
        <v>198990</v>
      </c>
      <c r="AO73" s="18">
        <f t="shared" si="17"/>
        <v>0</v>
      </c>
      <c r="AP73" s="18"/>
    </row>
    <row r="74" spans="1:42" ht="15.75" customHeight="1" x14ac:dyDescent="0.3">
      <c r="A74" s="7"/>
      <c r="B74" s="7"/>
      <c r="C74" s="7" t="str">
        <f t="shared" si="0"/>
        <v>VBFV60HG11</v>
      </c>
      <c r="D74" s="7" t="s">
        <v>40</v>
      </c>
      <c r="E74" s="7"/>
      <c r="F74" s="8">
        <v>350</v>
      </c>
      <c r="G74" s="9" t="s">
        <v>54</v>
      </c>
      <c r="H74" s="7" t="str">
        <f>VLOOKUP(G74,'[1]Price Components'!B:C,2,0)</f>
        <v>Kerala</v>
      </c>
      <c r="I74" s="7" t="str">
        <f>VLOOKUP(G74,'[1]Price Components'!B:D,3,0)</f>
        <v>EX-SHOWROOM</v>
      </c>
      <c r="J74" s="10">
        <f t="shared" si="1"/>
        <v>4.2499880304505341E-2</v>
      </c>
      <c r="K74" s="11">
        <v>147492</v>
      </c>
      <c r="L74" s="12">
        <f t="shared" si="2"/>
        <v>-2604</v>
      </c>
      <c r="M74" s="11">
        <v>144888</v>
      </c>
      <c r="N74" s="8">
        <v>1279</v>
      </c>
      <c r="O74" s="13">
        <f>VLOOKUP(G74,'[1]Price Components'!B:E,4,0)</f>
        <v>690</v>
      </c>
      <c r="P74" s="13">
        <f t="shared" si="3"/>
        <v>146857</v>
      </c>
      <c r="Q74" s="14">
        <f>ROUND(IF(F74&lt;500,VLOOKUP(G74,'[1]Price Components'!B:G,5,0),VLOOKUP(G74,'[1]Price Components'!B:G,6,0)),2)</f>
        <v>1104</v>
      </c>
      <c r="R74" s="11">
        <f t="shared" si="4"/>
        <v>7989</v>
      </c>
      <c r="S74" s="13">
        <v>0</v>
      </c>
      <c r="T74" s="11">
        <f t="shared" si="5"/>
        <v>7989</v>
      </c>
      <c r="U74" s="11">
        <v>292</v>
      </c>
      <c r="V74" s="13">
        <f t="shared" si="6"/>
        <v>8281</v>
      </c>
      <c r="W74" s="13">
        <f t="shared" si="7"/>
        <v>187977</v>
      </c>
      <c r="X74" s="13">
        <f t="shared" si="8"/>
        <v>156242</v>
      </c>
      <c r="Y74" s="13">
        <f t="shared" si="9"/>
        <v>43748</v>
      </c>
      <c r="Z74" s="11">
        <v>0</v>
      </c>
      <c r="AA74" s="13">
        <f t="shared" si="30"/>
        <v>199990</v>
      </c>
      <c r="AB74" s="13" t="str">
        <f t="shared" si="11"/>
        <v>B</v>
      </c>
      <c r="AC74" s="15">
        <f>IF(AB74="A",VLOOKUP($G74,'[1]Price Components'!$B:$AC,7,0),IF(AB74="B",VLOOKUP($G74,'[1]Price Components'!$B:$AC,8,0),IF(AB74="C",VLOOKUP($G74,'[1]Price Components'!$B:$AC,9,0),IF(AB74="E",15%,IF(AB74="D",VLOOKUP($G74,'[1]Price Components'!$B:$AC,10,0))))))</f>
        <v>0.15</v>
      </c>
      <c r="AD74" s="13">
        <f>ROUND(IF(AC74=0,VLOOKUP($G74,'[1]Price Components'!$B:$AC,11,0),IF(I74="BASIC",X74*AC74,AA74*AC74)),0)</f>
        <v>29999</v>
      </c>
      <c r="AE74" s="13">
        <f>ROUND(VLOOKUP($G74,'[1]Price Components'!$B:$AC,12,0),0)</f>
        <v>705</v>
      </c>
      <c r="AF74" s="16">
        <f>VLOOKUP($G74,'[1]Price Components'!$B:$AC,14,0)</f>
        <v>7.92E-3</v>
      </c>
      <c r="AG74" s="16">
        <f>VLOOKUP($G74,'[1]Price Components'!$B:$AC,15,0)</f>
        <v>8.2979999999999998E-3</v>
      </c>
      <c r="AH74" s="13">
        <f t="shared" si="12"/>
        <v>1505</v>
      </c>
      <c r="AI74" s="13">
        <f t="shared" si="13"/>
        <v>7740</v>
      </c>
      <c r="AJ74" s="13">
        <f t="shared" si="14"/>
        <v>1664</v>
      </c>
      <c r="AK74" s="13">
        <f t="shared" si="15"/>
        <v>10909</v>
      </c>
      <c r="AL74" s="13">
        <f t="shared" si="16"/>
        <v>241603</v>
      </c>
      <c r="AM74" s="18"/>
      <c r="AN74" s="18">
        <v>199990</v>
      </c>
      <c r="AO74" s="18">
        <f t="shared" si="17"/>
        <v>0</v>
      </c>
      <c r="AP74" s="18"/>
    </row>
    <row r="75" spans="1:42" ht="15.75" customHeight="1" x14ac:dyDescent="0.3">
      <c r="A75" s="7"/>
      <c r="B75" s="7"/>
      <c r="C75" s="7" t="str">
        <f t="shared" si="0"/>
        <v>VBFV60SE11</v>
      </c>
      <c r="D75" s="7" t="s">
        <v>41</v>
      </c>
      <c r="E75" s="7"/>
      <c r="F75" s="8">
        <v>350</v>
      </c>
      <c r="G75" s="9" t="s">
        <v>54</v>
      </c>
      <c r="H75" s="7" t="str">
        <f>VLOOKUP(G75,'[1]Price Components'!B:C,2,0)</f>
        <v>Kerala</v>
      </c>
      <c r="I75" s="7" t="str">
        <f>VLOOKUP(G75,'[1]Price Components'!B:D,3,0)</f>
        <v>EX-SHOWROOM</v>
      </c>
      <c r="J75" s="10">
        <f t="shared" si="1"/>
        <v>4.2498104960573338E-2</v>
      </c>
      <c r="K75" s="11">
        <v>156384</v>
      </c>
      <c r="L75" s="12">
        <f t="shared" si="2"/>
        <v>366.87241706161876</v>
      </c>
      <c r="M75" s="11">
        <v>156750.87241706162</v>
      </c>
      <c r="N75" s="8">
        <v>1279</v>
      </c>
      <c r="O75" s="13">
        <f>VLOOKUP(G75,'[1]Price Components'!B:E,4,0)</f>
        <v>690</v>
      </c>
      <c r="P75" s="13">
        <f t="shared" si="3"/>
        <v>158720</v>
      </c>
      <c r="Q75" s="14">
        <f>ROUND(IF(F75&lt;500,VLOOKUP(G75,'[1]Price Components'!B:G,5,0),VLOOKUP(G75,'[1]Price Components'!B:G,6,0)),2)</f>
        <v>1104</v>
      </c>
      <c r="R75" s="11">
        <f t="shared" si="4"/>
        <v>8634</v>
      </c>
      <c r="S75" s="13">
        <v>0</v>
      </c>
      <c r="T75" s="11">
        <f t="shared" si="5"/>
        <v>8634</v>
      </c>
      <c r="U75" s="11">
        <v>292</v>
      </c>
      <c r="V75" s="13">
        <f t="shared" si="6"/>
        <v>8926</v>
      </c>
      <c r="W75" s="13">
        <f t="shared" si="7"/>
        <v>203162</v>
      </c>
      <c r="X75" s="13">
        <f t="shared" si="8"/>
        <v>168750</v>
      </c>
      <c r="Y75" s="13">
        <f t="shared" si="9"/>
        <v>47250</v>
      </c>
      <c r="Z75" s="11">
        <v>0</v>
      </c>
      <c r="AA75" s="13">
        <f t="shared" si="30"/>
        <v>216000</v>
      </c>
      <c r="AB75" s="13" t="str">
        <f t="shared" si="11"/>
        <v>C</v>
      </c>
      <c r="AC75" s="15">
        <f>IF(AB75="A",VLOOKUP($G75,'[1]Price Components'!$B:$AC,7,0),IF(AB75="B",VLOOKUP($G75,'[1]Price Components'!$B:$AC,8,0),IF(AB75="C",VLOOKUP($G75,'[1]Price Components'!$B:$AC,9,0),IF(AB75="E",15%,IF(AB75="D",VLOOKUP($G75,'[1]Price Components'!$B:$AC,10,0))))))</f>
        <v>0.21</v>
      </c>
      <c r="AD75" s="13">
        <f>ROUND(IF(AC75=0,VLOOKUP($G75,'[1]Price Components'!$B:$AC,11,0),IF(I75="BASIC",X75*AC75,AA75*AC75)),0)</f>
        <v>45360</v>
      </c>
      <c r="AE75" s="13">
        <f>ROUND(VLOOKUP($G75,'[1]Price Components'!$B:$AC,12,0),0)</f>
        <v>705</v>
      </c>
      <c r="AF75" s="16">
        <f>VLOOKUP($G75,'[1]Price Components'!$B:$AC,14,0)</f>
        <v>7.92E-3</v>
      </c>
      <c r="AG75" s="16">
        <f>VLOOKUP($G75,'[1]Price Components'!$B:$AC,15,0)</f>
        <v>8.2979999999999998E-3</v>
      </c>
      <c r="AH75" s="13">
        <f t="shared" si="12"/>
        <v>1625</v>
      </c>
      <c r="AI75" s="13">
        <f t="shared" si="13"/>
        <v>7740</v>
      </c>
      <c r="AJ75" s="13">
        <f t="shared" si="14"/>
        <v>1686</v>
      </c>
      <c r="AK75" s="13">
        <f t="shared" si="15"/>
        <v>11051</v>
      </c>
      <c r="AL75" s="13">
        <f t="shared" si="16"/>
        <v>273116</v>
      </c>
      <c r="AM75" s="17"/>
      <c r="AN75" s="18">
        <v>216000</v>
      </c>
      <c r="AO75" s="18">
        <f t="shared" si="17"/>
        <v>0</v>
      </c>
      <c r="AP75" s="18"/>
    </row>
    <row r="76" spans="1:42" ht="15.75" customHeight="1" x14ac:dyDescent="0.3">
      <c r="A76" s="7"/>
      <c r="B76" s="7"/>
      <c r="C76" s="7" t="str">
        <f t="shared" si="0"/>
        <v>VBFV60GM11</v>
      </c>
      <c r="D76" s="7" t="s">
        <v>42</v>
      </c>
      <c r="E76" s="7"/>
      <c r="F76" s="8">
        <v>350</v>
      </c>
      <c r="G76" s="9" t="s">
        <v>54</v>
      </c>
      <c r="H76" s="7" t="str">
        <f>VLOOKUP(G76,'[1]Price Components'!B:C,2,0)</f>
        <v>Kerala</v>
      </c>
      <c r="I76" s="7" t="str">
        <f>VLOOKUP(G76,'[1]Price Components'!B:D,3,0)</f>
        <v>EX-SHOWROOM</v>
      </c>
      <c r="J76" s="10">
        <f t="shared" si="1"/>
        <v>4.2499421342768198E-2</v>
      </c>
      <c r="K76" s="11">
        <v>163052</v>
      </c>
      <c r="L76" s="12">
        <f t="shared" si="2"/>
        <v>367.27425976385712</v>
      </c>
      <c r="M76" s="11">
        <v>163419.27425976386</v>
      </c>
      <c r="N76" s="8">
        <v>1279</v>
      </c>
      <c r="O76" s="13">
        <f>VLOOKUP(G76,'[1]Price Components'!B:E,4,0)</f>
        <v>690</v>
      </c>
      <c r="P76" s="13">
        <f t="shared" si="3"/>
        <v>165388</v>
      </c>
      <c r="Q76" s="14">
        <f>ROUND(IF(F76&lt;500,VLOOKUP(G76,'[1]Price Components'!B:G,5,0),VLOOKUP(G76,'[1]Price Components'!B:G,6,0)),2)</f>
        <v>1104</v>
      </c>
      <c r="R76" s="11">
        <f t="shared" si="4"/>
        <v>8997</v>
      </c>
      <c r="S76" s="13">
        <v>0</v>
      </c>
      <c r="T76" s="11">
        <f t="shared" si="5"/>
        <v>8997</v>
      </c>
      <c r="U76" s="11">
        <v>292</v>
      </c>
      <c r="V76" s="13">
        <f t="shared" si="6"/>
        <v>9289</v>
      </c>
      <c r="W76" s="13">
        <f t="shared" si="7"/>
        <v>211697</v>
      </c>
      <c r="X76" s="13">
        <f t="shared" si="8"/>
        <v>175781</v>
      </c>
      <c r="Y76" s="13">
        <f t="shared" si="9"/>
        <v>49219</v>
      </c>
      <c r="Z76" s="11">
        <v>0</v>
      </c>
      <c r="AA76" s="13">
        <f t="shared" si="30"/>
        <v>225000</v>
      </c>
      <c r="AB76" s="13" t="str">
        <f t="shared" si="11"/>
        <v>C</v>
      </c>
      <c r="AC76" s="15">
        <f>IF(AB76="A",VLOOKUP($G76,'[1]Price Components'!$B:$AC,7,0),IF(AB76="B",VLOOKUP($G76,'[1]Price Components'!$B:$AC,8,0),IF(AB76="C",VLOOKUP($G76,'[1]Price Components'!$B:$AC,9,0),IF(AB76="E",15%,IF(AB76="D",VLOOKUP($G76,'[1]Price Components'!$B:$AC,10,0))))))</f>
        <v>0.21</v>
      </c>
      <c r="AD76" s="13">
        <f>ROUND(IF(AC76=0,VLOOKUP($G76,'[1]Price Components'!$B:$AC,11,0),IF(I76="BASIC",X76*AC76,AA76*AC76)),0)</f>
        <v>47250</v>
      </c>
      <c r="AE76" s="13">
        <f>ROUND(VLOOKUP($G76,'[1]Price Components'!$B:$AC,12,0),0)</f>
        <v>705</v>
      </c>
      <c r="AF76" s="16">
        <f>VLOOKUP($G76,'[1]Price Components'!$B:$AC,14,0)</f>
        <v>7.92E-3</v>
      </c>
      <c r="AG76" s="16">
        <f>VLOOKUP($G76,'[1]Price Components'!$B:$AC,15,0)</f>
        <v>8.2979999999999998E-3</v>
      </c>
      <c r="AH76" s="13">
        <f t="shared" si="12"/>
        <v>1693</v>
      </c>
      <c r="AI76" s="13">
        <f t="shared" si="13"/>
        <v>7740</v>
      </c>
      <c r="AJ76" s="13">
        <f t="shared" si="14"/>
        <v>1698</v>
      </c>
      <c r="AK76" s="13">
        <f t="shared" si="15"/>
        <v>11131</v>
      </c>
      <c r="AL76" s="13">
        <f t="shared" si="16"/>
        <v>284086</v>
      </c>
      <c r="AM76" s="17"/>
      <c r="AN76" s="18">
        <v>225000</v>
      </c>
      <c r="AO76" s="18">
        <f t="shared" si="17"/>
        <v>0</v>
      </c>
      <c r="AP76" s="18"/>
    </row>
    <row r="77" spans="1:42" ht="15.75" customHeight="1" x14ac:dyDescent="0.3">
      <c r="A77" s="7"/>
      <c r="B77" s="7"/>
      <c r="C77" s="7" t="str">
        <f t="shared" si="0"/>
        <v>VBFV60SB11</v>
      </c>
      <c r="D77" s="7" t="s">
        <v>43</v>
      </c>
      <c r="E77" s="7"/>
      <c r="F77" s="8">
        <v>350</v>
      </c>
      <c r="G77" s="9" t="s">
        <v>54</v>
      </c>
      <c r="H77" s="7" t="str">
        <f>VLOOKUP(G77,'[1]Price Components'!B:C,2,0)</f>
        <v>Kerala</v>
      </c>
      <c r="I77" s="7" t="str">
        <f>VLOOKUP(G77,'[1]Price Components'!B:D,3,0)</f>
        <v>EX-SHOWROOM</v>
      </c>
      <c r="J77" s="10">
        <f t="shared" si="1"/>
        <v>4.2499421342768198E-2</v>
      </c>
      <c r="K77" s="11">
        <v>163052</v>
      </c>
      <c r="L77" s="12">
        <f t="shared" si="2"/>
        <v>367.27425976385712</v>
      </c>
      <c r="M77" s="11">
        <v>163419.27425976386</v>
      </c>
      <c r="N77" s="8">
        <v>1279</v>
      </c>
      <c r="O77" s="13">
        <f>VLOOKUP(G77,'[1]Price Components'!B:E,4,0)</f>
        <v>690</v>
      </c>
      <c r="P77" s="13">
        <f t="shared" si="3"/>
        <v>165388</v>
      </c>
      <c r="Q77" s="14">
        <f>ROUND(IF(F77&lt;500,VLOOKUP(G77,'[1]Price Components'!B:G,5,0),VLOOKUP(G77,'[1]Price Components'!B:G,6,0)),2)</f>
        <v>1104</v>
      </c>
      <c r="R77" s="11">
        <f t="shared" si="4"/>
        <v>8997</v>
      </c>
      <c r="S77" s="13">
        <v>0</v>
      </c>
      <c r="T77" s="11">
        <f t="shared" si="5"/>
        <v>8997</v>
      </c>
      <c r="U77" s="11">
        <v>292</v>
      </c>
      <c r="V77" s="13">
        <f t="shared" si="6"/>
        <v>9289</v>
      </c>
      <c r="W77" s="13">
        <f t="shared" si="7"/>
        <v>211697</v>
      </c>
      <c r="X77" s="13">
        <f t="shared" si="8"/>
        <v>175781</v>
      </c>
      <c r="Y77" s="13">
        <f t="shared" si="9"/>
        <v>49219</v>
      </c>
      <c r="Z77" s="11">
        <v>0</v>
      </c>
      <c r="AA77" s="13">
        <f t="shared" si="30"/>
        <v>225000</v>
      </c>
      <c r="AB77" s="13" t="str">
        <f t="shared" si="11"/>
        <v>C</v>
      </c>
      <c r="AC77" s="15">
        <f>IF(AB77="A",VLOOKUP($G77,'[1]Price Components'!$B:$AC,7,0),IF(AB77="B",VLOOKUP($G77,'[1]Price Components'!$B:$AC,8,0),IF(AB77="C",VLOOKUP($G77,'[1]Price Components'!$B:$AC,9,0),IF(AB77="E",15%,IF(AB77="D",VLOOKUP($G77,'[1]Price Components'!$B:$AC,10,0))))))</f>
        <v>0.21</v>
      </c>
      <c r="AD77" s="13">
        <f>ROUND(IF(AC77=0,VLOOKUP($G77,'[1]Price Components'!$B:$AC,11,0),IF(I77="BASIC",X77*AC77,AA77*AC77)),0)</f>
        <v>47250</v>
      </c>
      <c r="AE77" s="13">
        <f>ROUND(VLOOKUP($G77,'[1]Price Components'!$B:$AC,12,0),0)</f>
        <v>705</v>
      </c>
      <c r="AF77" s="16">
        <f>VLOOKUP($G77,'[1]Price Components'!$B:$AC,14,0)</f>
        <v>7.92E-3</v>
      </c>
      <c r="AG77" s="16">
        <f>VLOOKUP($G77,'[1]Price Components'!$B:$AC,15,0)</f>
        <v>8.2979999999999998E-3</v>
      </c>
      <c r="AH77" s="13">
        <f t="shared" si="12"/>
        <v>1693</v>
      </c>
      <c r="AI77" s="13">
        <f t="shared" si="13"/>
        <v>7740</v>
      </c>
      <c r="AJ77" s="13">
        <f t="shared" si="14"/>
        <v>1698</v>
      </c>
      <c r="AK77" s="13">
        <f t="shared" si="15"/>
        <v>11131</v>
      </c>
      <c r="AL77" s="13">
        <f t="shared" si="16"/>
        <v>284086</v>
      </c>
      <c r="AM77" s="17"/>
      <c r="AN77" s="18">
        <v>225000</v>
      </c>
      <c r="AO77" s="18">
        <f t="shared" si="17"/>
        <v>0</v>
      </c>
      <c r="AP77" s="18"/>
    </row>
    <row r="78" spans="1:42" ht="15.75" customHeight="1" x14ac:dyDescent="0.3">
      <c r="A78" s="7"/>
      <c r="B78" s="7"/>
      <c r="C78" s="7" t="str">
        <f t="shared" si="0"/>
        <v>VBFV60DN11</v>
      </c>
      <c r="D78" s="7" t="s">
        <v>44</v>
      </c>
      <c r="E78" s="7"/>
      <c r="F78" s="8">
        <v>350</v>
      </c>
      <c r="G78" s="9" t="s">
        <v>54</v>
      </c>
      <c r="H78" s="7" t="str">
        <f>VLOOKUP(G78,'[1]Price Components'!B:C,2,0)</f>
        <v>Kerala</v>
      </c>
      <c r="I78" s="7" t="str">
        <f>VLOOKUP(G78,'[1]Price Components'!B:D,3,0)</f>
        <v>EX-SHOWROOM</v>
      </c>
      <c r="J78" s="10">
        <f t="shared" si="1"/>
        <v>4.2501778800395497E-2</v>
      </c>
      <c r="K78" s="11">
        <v>166757</v>
      </c>
      <c r="L78" s="12">
        <f t="shared" si="2"/>
        <v>365.9717442135734</v>
      </c>
      <c r="M78" s="11">
        <v>167122.97174421357</v>
      </c>
      <c r="N78" s="8">
        <v>1279</v>
      </c>
      <c r="O78" s="13">
        <f>VLOOKUP(G78,'[1]Price Components'!B:E,4,0)</f>
        <v>690</v>
      </c>
      <c r="P78" s="13">
        <f t="shared" si="3"/>
        <v>169092</v>
      </c>
      <c r="Q78" s="14">
        <f>ROUND(IF(F78&lt;500,VLOOKUP(G78,'[1]Price Components'!B:G,5,0),VLOOKUP(G78,'[1]Price Components'!B:G,6,0)),2)</f>
        <v>1104</v>
      </c>
      <c r="R78" s="11">
        <f t="shared" si="4"/>
        <v>9199</v>
      </c>
      <c r="S78" s="13">
        <v>0</v>
      </c>
      <c r="T78" s="11">
        <f t="shared" si="5"/>
        <v>9199</v>
      </c>
      <c r="U78" s="11">
        <v>292</v>
      </c>
      <c r="V78" s="13">
        <f t="shared" si="6"/>
        <v>9491</v>
      </c>
      <c r="W78" s="13">
        <f t="shared" si="7"/>
        <v>216438</v>
      </c>
      <c r="X78" s="13">
        <f t="shared" si="8"/>
        <v>179687</v>
      </c>
      <c r="Y78" s="13">
        <f t="shared" si="9"/>
        <v>50312</v>
      </c>
      <c r="Z78" s="11">
        <v>0</v>
      </c>
      <c r="AA78" s="13">
        <f>ROUND(X78+Y78+Z78,0)+1</f>
        <v>230000</v>
      </c>
      <c r="AB78" s="13" t="str">
        <f t="shared" si="11"/>
        <v>C</v>
      </c>
      <c r="AC78" s="15">
        <f>IF(AB78="A",VLOOKUP($G78,'[1]Price Components'!$B:$AC,7,0),IF(AB78="B",VLOOKUP($G78,'[1]Price Components'!$B:$AC,8,0),IF(AB78="C",VLOOKUP($G78,'[1]Price Components'!$B:$AC,9,0),IF(AB78="E",15%,IF(AB78="D",VLOOKUP($G78,'[1]Price Components'!$B:$AC,10,0))))))</f>
        <v>0.21</v>
      </c>
      <c r="AD78" s="13">
        <f>ROUND(IF(AC78=0,VLOOKUP($G78,'[1]Price Components'!$B:$AC,11,0),IF(I78="BASIC",X78*AC78,AA78*AC78)),0)</f>
        <v>48300</v>
      </c>
      <c r="AE78" s="13">
        <f>ROUND(VLOOKUP($G78,'[1]Price Components'!$B:$AC,12,0),0)</f>
        <v>705</v>
      </c>
      <c r="AF78" s="16">
        <f>VLOOKUP($G78,'[1]Price Components'!$B:$AC,14,0)</f>
        <v>7.92E-3</v>
      </c>
      <c r="AG78" s="16">
        <f>VLOOKUP($G78,'[1]Price Components'!$B:$AC,15,0)</f>
        <v>8.2979999999999998E-3</v>
      </c>
      <c r="AH78" s="13">
        <f t="shared" si="12"/>
        <v>1731</v>
      </c>
      <c r="AI78" s="13">
        <f t="shared" si="13"/>
        <v>7740</v>
      </c>
      <c r="AJ78" s="13">
        <f t="shared" si="14"/>
        <v>1705</v>
      </c>
      <c r="AK78" s="13">
        <f t="shared" si="15"/>
        <v>11176</v>
      </c>
      <c r="AL78" s="13">
        <f t="shared" si="16"/>
        <v>290181</v>
      </c>
      <c r="AM78" s="17"/>
      <c r="AN78" s="18">
        <v>230000</v>
      </c>
      <c r="AO78" s="18">
        <f t="shared" si="17"/>
        <v>0</v>
      </c>
      <c r="AP78" s="18"/>
    </row>
    <row r="79" spans="1:42" ht="15.75" customHeight="1" x14ac:dyDescent="0.3">
      <c r="A79" s="7"/>
      <c r="B79" s="7"/>
      <c r="C79" s="7" t="str">
        <f t="shared" si="0"/>
        <v>VBFV60RR12</v>
      </c>
      <c r="D79" s="7" t="s">
        <v>37</v>
      </c>
      <c r="E79" s="7"/>
      <c r="F79" s="8">
        <v>350</v>
      </c>
      <c r="G79" s="9" t="s">
        <v>55</v>
      </c>
      <c r="H79" s="7" t="str">
        <f>VLOOKUP(G79,'[1]Price Components'!B:C,2,0)</f>
        <v>Madhya Pradesh</v>
      </c>
      <c r="I79" s="7" t="str">
        <f>VLOOKUP(G79,'[1]Price Components'!B:D,3,0)</f>
        <v>EX-SHOWROOM</v>
      </c>
      <c r="J79" s="10">
        <f t="shared" si="1"/>
        <v>4.2502528319857881E-2</v>
      </c>
      <c r="K79" s="11">
        <v>144158</v>
      </c>
      <c r="L79" s="12">
        <f t="shared" si="2"/>
        <v>-469.5625</v>
      </c>
      <c r="M79" s="11">
        <v>143688.4375</v>
      </c>
      <c r="N79" s="8">
        <v>1279</v>
      </c>
      <c r="O79" s="13">
        <f>VLOOKUP(G79,'[1]Price Components'!B:E,4,0)</f>
        <v>1035</v>
      </c>
      <c r="P79" s="13">
        <f t="shared" si="3"/>
        <v>146002</v>
      </c>
      <c r="Q79" s="14">
        <f>ROUND(IF(F79&lt;500,VLOOKUP(G79,'[1]Price Components'!B:G,5,0),VLOOKUP(G79,'[1]Price Components'!B:G,6,0)),2)</f>
        <v>1622</v>
      </c>
      <c r="R79" s="11">
        <f t="shared" si="4"/>
        <v>7943</v>
      </c>
      <c r="S79" s="13">
        <v>0</v>
      </c>
      <c r="T79" s="11">
        <f t="shared" si="5"/>
        <v>7943</v>
      </c>
      <c r="U79" s="11">
        <v>292</v>
      </c>
      <c r="V79" s="13">
        <f t="shared" si="6"/>
        <v>8235</v>
      </c>
      <c r="W79" s="13">
        <f t="shared" si="7"/>
        <v>186883</v>
      </c>
      <c r="X79" s="13">
        <f t="shared" si="8"/>
        <v>155859</v>
      </c>
      <c r="Y79" s="13">
        <f t="shared" si="9"/>
        <v>43641</v>
      </c>
      <c r="Z79" s="11">
        <v>0</v>
      </c>
      <c r="AA79" s="13">
        <f t="shared" ref="AA79:AA84" si="31">ROUND(X79+Y79+Z79,0)</f>
        <v>199500</v>
      </c>
      <c r="AB79" s="13" t="str">
        <f t="shared" si="11"/>
        <v>B</v>
      </c>
      <c r="AC79" s="15">
        <f>IF(AB79="A",VLOOKUP($G79,'[1]Price Components'!$B:$AC,7,0),IF(AB79="B",VLOOKUP($G79,'[1]Price Components'!$B:$AC,8,0),IF(AB79="C",VLOOKUP($G79,'[1]Price Components'!$B:$AC,9,0),IF(AB79="E",15%,IF(AB79="D",VLOOKUP($G79,'[1]Price Components'!$B:$AC,10,0))))))</f>
        <v>0.08</v>
      </c>
      <c r="AD79" s="13">
        <f>ROUND(IF(AC79=0,VLOOKUP($G79,'[1]Price Components'!$B:$AC,11,0),IF(I79="BASIC",X79*AC79,AA79*AC79)),0)</f>
        <v>15960</v>
      </c>
      <c r="AE79" s="13">
        <f>ROUND(VLOOKUP($G79,'[1]Price Components'!$B:$AC,12,0),0)</f>
        <v>1075</v>
      </c>
      <c r="AF79" s="16">
        <f>VLOOKUP($G79,'[1]Price Components'!$B:$AC,14,0)</f>
        <v>7.92E-3</v>
      </c>
      <c r="AG79" s="16">
        <f>VLOOKUP($G79,'[1]Price Components'!$B:$AC,15,0)</f>
        <v>8.2979999999999998E-3</v>
      </c>
      <c r="AH79" s="13">
        <f t="shared" si="12"/>
        <v>1501</v>
      </c>
      <c r="AI79" s="13">
        <f t="shared" si="13"/>
        <v>7740</v>
      </c>
      <c r="AJ79" s="13">
        <f t="shared" si="14"/>
        <v>1663</v>
      </c>
      <c r="AK79" s="13">
        <f t="shared" si="15"/>
        <v>10904</v>
      </c>
      <c r="AL79" s="13">
        <f t="shared" si="16"/>
        <v>227439</v>
      </c>
      <c r="AM79" s="17"/>
      <c r="AN79" s="18">
        <v>199500</v>
      </c>
      <c r="AO79" s="18">
        <f t="shared" si="17"/>
        <v>0</v>
      </c>
      <c r="AP79" s="18"/>
    </row>
    <row r="80" spans="1:42" ht="15.75" customHeight="1" x14ac:dyDescent="0.3">
      <c r="A80" s="7"/>
      <c r="B80" s="7"/>
      <c r="C80" s="7" t="str">
        <f t="shared" si="0"/>
        <v>VBFV60EB12</v>
      </c>
      <c r="D80" s="7" t="s">
        <v>39</v>
      </c>
      <c r="E80" s="7"/>
      <c r="F80" s="8">
        <v>350</v>
      </c>
      <c r="G80" s="9" t="s">
        <v>55</v>
      </c>
      <c r="H80" s="7" t="str">
        <f>VLOOKUP(G80,'[1]Price Components'!B:C,2,0)</f>
        <v>Madhya Pradesh</v>
      </c>
      <c r="I80" s="7" t="str">
        <f>VLOOKUP(G80,'[1]Price Components'!B:D,3,0)</f>
        <v>EX-SHOWROOM</v>
      </c>
      <c r="J80" s="10">
        <f t="shared" si="1"/>
        <v>4.2502528319857881E-2</v>
      </c>
      <c r="K80" s="11">
        <v>144158</v>
      </c>
      <c r="L80" s="12">
        <f t="shared" si="2"/>
        <v>-469.5625</v>
      </c>
      <c r="M80" s="11">
        <v>143688.4375</v>
      </c>
      <c r="N80" s="8">
        <v>1279</v>
      </c>
      <c r="O80" s="13">
        <f>VLOOKUP(G80,'[1]Price Components'!B:E,4,0)</f>
        <v>1035</v>
      </c>
      <c r="P80" s="13">
        <f t="shared" si="3"/>
        <v>146002</v>
      </c>
      <c r="Q80" s="14">
        <f>ROUND(IF(F80&lt;500,VLOOKUP(G80,'[1]Price Components'!B:G,5,0),VLOOKUP(G80,'[1]Price Components'!B:G,6,0)),2)</f>
        <v>1622</v>
      </c>
      <c r="R80" s="11">
        <f t="shared" si="4"/>
        <v>7943</v>
      </c>
      <c r="S80" s="13">
        <v>0</v>
      </c>
      <c r="T80" s="11">
        <f t="shared" si="5"/>
        <v>7943</v>
      </c>
      <c r="U80" s="11">
        <v>292</v>
      </c>
      <c r="V80" s="13">
        <f t="shared" si="6"/>
        <v>8235</v>
      </c>
      <c r="W80" s="13">
        <f t="shared" si="7"/>
        <v>186883</v>
      </c>
      <c r="X80" s="13">
        <f t="shared" si="8"/>
        <v>155859</v>
      </c>
      <c r="Y80" s="13">
        <f t="shared" si="9"/>
        <v>43641</v>
      </c>
      <c r="Z80" s="11">
        <v>0</v>
      </c>
      <c r="AA80" s="13">
        <f t="shared" si="31"/>
        <v>199500</v>
      </c>
      <c r="AB80" s="13" t="str">
        <f t="shared" si="11"/>
        <v>B</v>
      </c>
      <c r="AC80" s="15">
        <f>IF(AB80="A",VLOOKUP($G80,'[1]Price Components'!$B:$AC,7,0),IF(AB80="B",VLOOKUP($G80,'[1]Price Components'!$B:$AC,8,0),IF(AB80="C",VLOOKUP($G80,'[1]Price Components'!$B:$AC,9,0),IF(AB80="E",15%,IF(AB80="D",VLOOKUP($G80,'[1]Price Components'!$B:$AC,10,0))))))</f>
        <v>0.08</v>
      </c>
      <c r="AD80" s="13">
        <f>ROUND(IF(AC80=0,VLOOKUP($G80,'[1]Price Components'!$B:$AC,11,0),IF(I80="BASIC",X80*AC80,AA80*AC80)),0)</f>
        <v>15960</v>
      </c>
      <c r="AE80" s="13">
        <f>ROUND(VLOOKUP($G80,'[1]Price Components'!$B:$AC,12,0),0)</f>
        <v>1075</v>
      </c>
      <c r="AF80" s="16">
        <f>VLOOKUP($G80,'[1]Price Components'!$B:$AC,14,0)</f>
        <v>7.92E-3</v>
      </c>
      <c r="AG80" s="16">
        <f>VLOOKUP($G80,'[1]Price Components'!$B:$AC,15,0)</f>
        <v>8.2979999999999998E-3</v>
      </c>
      <c r="AH80" s="13">
        <f t="shared" si="12"/>
        <v>1501</v>
      </c>
      <c r="AI80" s="13">
        <f t="shared" si="13"/>
        <v>7740</v>
      </c>
      <c r="AJ80" s="13">
        <f t="shared" si="14"/>
        <v>1663</v>
      </c>
      <c r="AK80" s="13">
        <f t="shared" si="15"/>
        <v>10904</v>
      </c>
      <c r="AL80" s="13">
        <f t="shared" si="16"/>
        <v>227439</v>
      </c>
      <c r="AM80" s="17"/>
      <c r="AN80" s="18">
        <v>199500</v>
      </c>
      <c r="AO80" s="18">
        <f t="shared" si="17"/>
        <v>0</v>
      </c>
      <c r="AP80" s="18"/>
    </row>
    <row r="81" spans="1:42" ht="15.75" customHeight="1" x14ac:dyDescent="0.3">
      <c r="A81" s="7"/>
      <c r="B81" s="7"/>
      <c r="C81" s="7" t="str">
        <f t="shared" si="0"/>
        <v>VBFV60HG12</v>
      </c>
      <c r="D81" s="7" t="s">
        <v>40</v>
      </c>
      <c r="E81" s="7"/>
      <c r="F81" s="8">
        <v>350</v>
      </c>
      <c r="G81" s="9" t="s">
        <v>55</v>
      </c>
      <c r="H81" s="7" t="str">
        <f>VLOOKUP(G81,'[1]Price Components'!B:C,2,0)</f>
        <v>Madhya Pradesh</v>
      </c>
      <c r="I81" s="7" t="str">
        <f>VLOOKUP(G81,'[1]Price Components'!B:D,3,0)</f>
        <v>EX-SHOWROOM</v>
      </c>
      <c r="J81" s="10">
        <f t="shared" si="1"/>
        <v>4.2500431595963402E-2</v>
      </c>
      <c r="K81" s="11">
        <v>147492</v>
      </c>
      <c r="L81" s="12">
        <f t="shared" si="2"/>
        <v>-469.15742447337834</v>
      </c>
      <c r="M81" s="11">
        <v>147022.84257552662</v>
      </c>
      <c r="N81" s="8">
        <v>1279</v>
      </c>
      <c r="O81" s="13">
        <f>VLOOKUP(G81,'[1]Price Components'!B:E,4,0)</f>
        <v>1035</v>
      </c>
      <c r="P81" s="13">
        <f t="shared" si="3"/>
        <v>149337</v>
      </c>
      <c r="Q81" s="14">
        <f>ROUND(IF(F81&lt;500,VLOOKUP(G81,'[1]Price Components'!B:G,5,0),VLOOKUP(G81,'[1]Price Components'!B:G,6,0)),2)</f>
        <v>1622</v>
      </c>
      <c r="R81" s="11">
        <f t="shared" si="4"/>
        <v>8124</v>
      </c>
      <c r="S81" s="13">
        <v>0</v>
      </c>
      <c r="T81" s="11">
        <f t="shared" si="5"/>
        <v>8124</v>
      </c>
      <c r="U81" s="11">
        <v>292</v>
      </c>
      <c r="V81" s="13">
        <f t="shared" si="6"/>
        <v>8416</v>
      </c>
      <c r="W81" s="13">
        <f t="shared" si="7"/>
        <v>191151</v>
      </c>
      <c r="X81" s="13">
        <f t="shared" si="8"/>
        <v>159375</v>
      </c>
      <c r="Y81" s="13">
        <f t="shared" si="9"/>
        <v>44625</v>
      </c>
      <c r="Z81" s="11">
        <v>0</v>
      </c>
      <c r="AA81" s="13">
        <f t="shared" si="31"/>
        <v>204000</v>
      </c>
      <c r="AB81" s="13" t="str">
        <f t="shared" si="11"/>
        <v>C</v>
      </c>
      <c r="AC81" s="15">
        <f>IF(AB81="A",VLOOKUP($G81,'[1]Price Components'!$B:$AC,7,0),IF(AB81="B",VLOOKUP($G81,'[1]Price Components'!$B:$AC,8,0),IF(AB81="C",VLOOKUP($G81,'[1]Price Components'!$B:$AC,9,0),IF(AB81="E",15%,IF(AB81="D",VLOOKUP($G81,'[1]Price Components'!$B:$AC,10,0))))))</f>
        <v>0.08</v>
      </c>
      <c r="AD81" s="13">
        <f>ROUND(IF(AC81=0,VLOOKUP($G81,'[1]Price Components'!$B:$AC,11,0),IF(I81="BASIC",X81*AC81,AA81*AC81)),0)</f>
        <v>16320</v>
      </c>
      <c r="AE81" s="13">
        <f>ROUND(VLOOKUP($G81,'[1]Price Components'!$B:$AC,12,0),0)</f>
        <v>1075</v>
      </c>
      <c r="AF81" s="16">
        <f>VLOOKUP($G81,'[1]Price Components'!$B:$AC,14,0)</f>
        <v>7.92E-3</v>
      </c>
      <c r="AG81" s="16">
        <f>VLOOKUP($G81,'[1]Price Components'!$B:$AC,15,0)</f>
        <v>8.2979999999999998E-3</v>
      </c>
      <c r="AH81" s="13">
        <f t="shared" si="12"/>
        <v>1535</v>
      </c>
      <c r="AI81" s="13">
        <f t="shared" si="13"/>
        <v>7740</v>
      </c>
      <c r="AJ81" s="13">
        <f t="shared" si="14"/>
        <v>1670</v>
      </c>
      <c r="AK81" s="13">
        <f t="shared" si="15"/>
        <v>10945</v>
      </c>
      <c r="AL81" s="13">
        <f t="shared" si="16"/>
        <v>232340</v>
      </c>
      <c r="AM81" s="17"/>
      <c r="AN81" s="18">
        <v>204000</v>
      </c>
      <c r="AO81" s="18">
        <f t="shared" si="17"/>
        <v>0</v>
      </c>
      <c r="AP81" s="18"/>
    </row>
    <row r="82" spans="1:42" ht="15.75" customHeight="1" x14ac:dyDescent="0.3">
      <c r="A82" s="7"/>
      <c r="B82" s="7"/>
      <c r="C82" s="7" t="str">
        <f t="shared" si="0"/>
        <v>VBFV60SE12</v>
      </c>
      <c r="D82" s="7" t="s">
        <v>41</v>
      </c>
      <c r="E82" s="7"/>
      <c r="F82" s="8">
        <v>350</v>
      </c>
      <c r="G82" s="9" t="s">
        <v>55</v>
      </c>
      <c r="H82" s="7" t="str">
        <f>VLOOKUP(G82,'[1]Price Components'!B:C,2,0)</f>
        <v>Madhya Pradesh</v>
      </c>
      <c r="I82" s="7" t="str">
        <f>VLOOKUP(G82,'[1]Price Components'!B:D,3,0)</f>
        <v>EX-SHOWROOM</v>
      </c>
      <c r="J82" s="10">
        <f t="shared" si="1"/>
        <v>4.250192562163016E-2</v>
      </c>
      <c r="K82" s="11">
        <v>156384</v>
      </c>
      <c r="L82" s="12">
        <f t="shared" si="2"/>
        <v>-469.67056371388026</v>
      </c>
      <c r="M82" s="11">
        <v>155914.32943628612</v>
      </c>
      <c r="N82" s="8">
        <v>1279</v>
      </c>
      <c r="O82" s="13">
        <f>VLOOKUP(G82,'[1]Price Components'!B:E,4,0)</f>
        <v>1035</v>
      </c>
      <c r="P82" s="13">
        <f t="shared" si="3"/>
        <v>158228</v>
      </c>
      <c r="Q82" s="14">
        <f>ROUND(IF(F82&lt;500,VLOOKUP(G82,'[1]Price Components'!B:G,5,0),VLOOKUP(G82,'[1]Price Components'!B:G,6,0)),2)</f>
        <v>1622</v>
      </c>
      <c r="R82" s="11">
        <f t="shared" si="4"/>
        <v>8608</v>
      </c>
      <c r="S82" s="13">
        <v>0</v>
      </c>
      <c r="T82" s="11">
        <f t="shared" si="5"/>
        <v>8608</v>
      </c>
      <c r="U82" s="11">
        <v>292</v>
      </c>
      <c r="V82" s="13">
        <f t="shared" si="6"/>
        <v>8900</v>
      </c>
      <c r="W82" s="13">
        <f t="shared" si="7"/>
        <v>202532</v>
      </c>
      <c r="X82" s="13">
        <f t="shared" si="8"/>
        <v>168750</v>
      </c>
      <c r="Y82" s="13">
        <f t="shared" si="9"/>
        <v>47250</v>
      </c>
      <c r="Z82" s="11">
        <v>0</v>
      </c>
      <c r="AA82" s="13">
        <f t="shared" si="31"/>
        <v>216000</v>
      </c>
      <c r="AB82" s="13" t="str">
        <f t="shared" si="11"/>
        <v>C</v>
      </c>
      <c r="AC82" s="15">
        <f>IF(AB82="A",VLOOKUP($G82,'[1]Price Components'!$B:$AC,7,0),IF(AB82="B",VLOOKUP($G82,'[1]Price Components'!$B:$AC,8,0),IF(AB82="C",VLOOKUP($G82,'[1]Price Components'!$B:$AC,9,0),IF(AB82="E",15%,IF(AB82="D",VLOOKUP($G82,'[1]Price Components'!$B:$AC,10,0))))))</f>
        <v>0.08</v>
      </c>
      <c r="AD82" s="13">
        <f>ROUND(IF(AC82=0,VLOOKUP($G82,'[1]Price Components'!$B:$AC,11,0),IF(I82="BASIC",X82*AC82,AA82*AC82)),0)</f>
        <v>17280</v>
      </c>
      <c r="AE82" s="13">
        <f>ROUND(VLOOKUP($G82,'[1]Price Components'!$B:$AC,12,0),0)</f>
        <v>1075</v>
      </c>
      <c r="AF82" s="16">
        <f>VLOOKUP($G82,'[1]Price Components'!$B:$AC,14,0)</f>
        <v>7.92E-3</v>
      </c>
      <c r="AG82" s="16">
        <f>VLOOKUP($G82,'[1]Price Components'!$B:$AC,15,0)</f>
        <v>8.2979999999999998E-3</v>
      </c>
      <c r="AH82" s="13">
        <f t="shared" si="12"/>
        <v>1625</v>
      </c>
      <c r="AI82" s="13">
        <f t="shared" si="13"/>
        <v>7740</v>
      </c>
      <c r="AJ82" s="13">
        <f t="shared" si="14"/>
        <v>1686</v>
      </c>
      <c r="AK82" s="13">
        <f t="shared" si="15"/>
        <v>11051</v>
      </c>
      <c r="AL82" s="13">
        <f t="shared" si="16"/>
        <v>245406</v>
      </c>
      <c r="AM82" s="17"/>
      <c r="AN82" s="18">
        <v>216000</v>
      </c>
      <c r="AO82" s="18">
        <f t="shared" si="17"/>
        <v>0</v>
      </c>
      <c r="AP82" s="18"/>
    </row>
    <row r="83" spans="1:42" ht="15.75" customHeight="1" x14ac:dyDescent="0.3">
      <c r="A83" s="7"/>
      <c r="B83" s="7"/>
      <c r="C83" s="7" t="str">
        <f t="shared" si="0"/>
        <v>VBFV60GM12</v>
      </c>
      <c r="D83" s="7" t="s">
        <v>42</v>
      </c>
      <c r="E83" s="7"/>
      <c r="F83" s="8">
        <v>350</v>
      </c>
      <c r="G83" s="9" t="s">
        <v>55</v>
      </c>
      <c r="H83" s="7" t="str">
        <f>VLOOKUP(G83,'[1]Price Components'!B:C,2,0)</f>
        <v>Madhya Pradesh</v>
      </c>
      <c r="I83" s="7" t="str">
        <f>VLOOKUP(G83,'[1]Price Components'!B:D,3,0)</f>
        <v>EX-SHOWROOM</v>
      </c>
      <c r="J83" s="10">
        <f t="shared" si="1"/>
        <v>4.2498152254249813E-2</v>
      </c>
      <c r="K83" s="11">
        <v>163052</v>
      </c>
      <c r="L83" s="12">
        <f t="shared" si="2"/>
        <v>-468.93192185371299</v>
      </c>
      <c r="M83" s="11">
        <v>162583.06807814629</v>
      </c>
      <c r="N83" s="8">
        <v>1279</v>
      </c>
      <c r="O83" s="13">
        <f>VLOOKUP(G83,'[1]Price Components'!B:E,4,0)</f>
        <v>1035</v>
      </c>
      <c r="P83" s="13">
        <f t="shared" si="3"/>
        <v>164897</v>
      </c>
      <c r="Q83" s="14">
        <f>ROUND(IF(F83&lt;500,VLOOKUP(G83,'[1]Price Components'!B:G,5,0),VLOOKUP(G83,'[1]Price Components'!B:G,6,0)),2)</f>
        <v>1622</v>
      </c>
      <c r="R83" s="11">
        <f t="shared" si="4"/>
        <v>8970</v>
      </c>
      <c r="S83" s="13">
        <v>0</v>
      </c>
      <c r="T83" s="11">
        <f t="shared" si="5"/>
        <v>8970</v>
      </c>
      <c r="U83" s="11">
        <v>292</v>
      </c>
      <c r="V83" s="13">
        <f t="shared" si="6"/>
        <v>9262</v>
      </c>
      <c r="W83" s="13">
        <f t="shared" si="7"/>
        <v>211068</v>
      </c>
      <c r="X83" s="13">
        <f t="shared" si="8"/>
        <v>175781</v>
      </c>
      <c r="Y83" s="13">
        <f t="shared" si="9"/>
        <v>49219</v>
      </c>
      <c r="Z83" s="11">
        <v>0</v>
      </c>
      <c r="AA83" s="13">
        <f t="shared" si="31"/>
        <v>225000</v>
      </c>
      <c r="AB83" s="13" t="str">
        <f t="shared" si="11"/>
        <v>C</v>
      </c>
      <c r="AC83" s="15">
        <f>IF(AB83="A",VLOOKUP($G83,'[1]Price Components'!$B:$AC,7,0),IF(AB83="B",VLOOKUP($G83,'[1]Price Components'!$B:$AC,8,0),IF(AB83="C",VLOOKUP($G83,'[1]Price Components'!$B:$AC,9,0),IF(AB83="E",15%,IF(AB83="D",VLOOKUP($G83,'[1]Price Components'!$B:$AC,10,0))))))</f>
        <v>0.08</v>
      </c>
      <c r="AD83" s="13">
        <f>ROUND(IF(AC83=0,VLOOKUP($G83,'[1]Price Components'!$B:$AC,11,0),IF(I83="BASIC",X83*AC83,AA83*AC83)),0)</f>
        <v>18000</v>
      </c>
      <c r="AE83" s="13">
        <f>ROUND(VLOOKUP($G83,'[1]Price Components'!$B:$AC,12,0),0)</f>
        <v>1075</v>
      </c>
      <c r="AF83" s="16">
        <f>VLOOKUP($G83,'[1]Price Components'!$B:$AC,14,0)</f>
        <v>7.92E-3</v>
      </c>
      <c r="AG83" s="16">
        <f>VLOOKUP($G83,'[1]Price Components'!$B:$AC,15,0)</f>
        <v>8.2979999999999998E-3</v>
      </c>
      <c r="AH83" s="13">
        <f t="shared" si="12"/>
        <v>1693</v>
      </c>
      <c r="AI83" s="13">
        <f t="shared" si="13"/>
        <v>7740</v>
      </c>
      <c r="AJ83" s="13">
        <f t="shared" si="14"/>
        <v>1698</v>
      </c>
      <c r="AK83" s="13">
        <f t="shared" si="15"/>
        <v>11131</v>
      </c>
      <c r="AL83" s="13">
        <f t="shared" si="16"/>
        <v>255206</v>
      </c>
      <c r="AM83" s="17"/>
      <c r="AN83" s="18">
        <v>225000</v>
      </c>
      <c r="AO83" s="18">
        <f t="shared" si="17"/>
        <v>0</v>
      </c>
      <c r="AP83" s="18"/>
    </row>
    <row r="84" spans="1:42" ht="15.75" customHeight="1" x14ac:dyDescent="0.3">
      <c r="A84" s="7"/>
      <c r="B84" s="7"/>
      <c r="C84" s="7" t="str">
        <f t="shared" si="0"/>
        <v>VBFV60SB12</v>
      </c>
      <c r="D84" s="7" t="s">
        <v>43</v>
      </c>
      <c r="E84" s="7"/>
      <c r="F84" s="8">
        <v>350</v>
      </c>
      <c r="G84" s="9" t="s">
        <v>55</v>
      </c>
      <c r="H84" s="7" t="str">
        <f>VLOOKUP(G84,'[1]Price Components'!B:C,2,0)</f>
        <v>Madhya Pradesh</v>
      </c>
      <c r="I84" s="7" t="str">
        <f>VLOOKUP(G84,'[1]Price Components'!B:D,3,0)</f>
        <v>EX-SHOWROOM</v>
      </c>
      <c r="J84" s="10">
        <f t="shared" si="1"/>
        <v>4.2498152254249813E-2</v>
      </c>
      <c r="K84" s="11">
        <v>163052</v>
      </c>
      <c r="L84" s="12">
        <f t="shared" si="2"/>
        <v>-468.93192185371299</v>
      </c>
      <c r="M84" s="11">
        <v>162583.06807814629</v>
      </c>
      <c r="N84" s="8">
        <v>1279</v>
      </c>
      <c r="O84" s="13">
        <f>VLOOKUP(G84,'[1]Price Components'!B:E,4,0)</f>
        <v>1035</v>
      </c>
      <c r="P84" s="13">
        <f t="shared" si="3"/>
        <v>164897</v>
      </c>
      <c r="Q84" s="14">
        <f>ROUND(IF(F84&lt;500,VLOOKUP(G84,'[1]Price Components'!B:G,5,0),VLOOKUP(G84,'[1]Price Components'!B:G,6,0)),2)</f>
        <v>1622</v>
      </c>
      <c r="R84" s="11">
        <f t="shared" si="4"/>
        <v>8970</v>
      </c>
      <c r="S84" s="13">
        <v>0</v>
      </c>
      <c r="T84" s="11">
        <f t="shared" si="5"/>
        <v>8970</v>
      </c>
      <c r="U84" s="11">
        <v>292</v>
      </c>
      <c r="V84" s="13">
        <f t="shared" si="6"/>
        <v>9262</v>
      </c>
      <c r="W84" s="13">
        <f t="shared" si="7"/>
        <v>211068</v>
      </c>
      <c r="X84" s="13">
        <f t="shared" si="8"/>
        <v>175781</v>
      </c>
      <c r="Y84" s="13">
        <f t="shared" si="9"/>
        <v>49219</v>
      </c>
      <c r="Z84" s="11">
        <v>0</v>
      </c>
      <c r="AA84" s="13">
        <f t="shared" si="31"/>
        <v>225000</v>
      </c>
      <c r="AB84" s="13" t="str">
        <f t="shared" si="11"/>
        <v>C</v>
      </c>
      <c r="AC84" s="15">
        <f>IF(AB84="A",VLOOKUP($G84,'[1]Price Components'!$B:$AC,7,0),IF(AB84="B",VLOOKUP($G84,'[1]Price Components'!$B:$AC,8,0),IF(AB84="C",VLOOKUP($G84,'[1]Price Components'!$B:$AC,9,0),IF(AB84="E",15%,IF(AB84="D",VLOOKUP($G84,'[1]Price Components'!$B:$AC,10,0))))))</f>
        <v>0.08</v>
      </c>
      <c r="AD84" s="13">
        <f>ROUND(IF(AC84=0,VLOOKUP($G84,'[1]Price Components'!$B:$AC,11,0),IF(I84="BASIC",X84*AC84,AA84*AC84)),0)</f>
        <v>18000</v>
      </c>
      <c r="AE84" s="13">
        <f>ROUND(VLOOKUP($G84,'[1]Price Components'!$B:$AC,12,0),0)</f>
        <v>1075</v>
      </c>
      <c r="AF84" s="16">
        <f>VLOOKUP($G84,'[1]Price Components'!$B:$AC,14,0)</f>
        <v>7.92E-3</v>
      </c>
      <c r="AG84" s="16">
        <f>VLOOKUP($G84,'[1]Price Components'!$B:$AC,15,0)</f>
        <v>8.2979999999999998E-3</v>
      </c>
      <c r="AH84" s="13">
        <f t="shared" si="12"/>
        <v>1693</v>
      </c>
      <c r="AI84" s="13">
        <f t="shared" si="13"/>
        <v>7740</v>
      </c>
      <c r="AJ84" s="13">
        <f t="shared" si="14"/>
        <v>1698</v>
      </c>
      <c r="AK84" s="13">
        <f t="shared" si="15"/>
        <v>11131</v>
      </c>
      <c r="AL84" s="13">
        <f t="shared" si="16"/>
        <v>255206</v>
      </c>
      <c r="AM84" s="17"/>
      <c r="AN84" s="18">
        <v>225000</v>
      </c>
      <c r="AO84" s="18">
        <f t="shared" si="17"/>
        <v>0</v>
      </c>
      <c r="AP84" s="18"/>
    </row>
    <row r="85" spans="1:42" ht="15.75" customHeight="1" x14ac:dyDescent="0.3">
      <c r="A85" s="7"/>
      <c r="B85" s="7"/>
      <c r="C85" s="7" t="str">
        <f t="shared" si="0"/>
        <v>VBFV60DN12</v>
      </c>
      <c r="D85" s="7" t="s">
        <v>44</v>
      </c>
      <c r="E85" s="7"/>
      <c r="F85" s="8">
        <v>350</v>
      </c>
      <c r="G85" s="9" t="s">
        <v>55</v>
      </c>
      <c r="H85" s="7" t="str">
        <f>VLOOKUP(G85,'[1]Price Components'!B:C,2,0)</f>
        <v>Madhya Pradesh</v>
      </c>
      <c r="I85" s="7" t="str">
        <f>VLOOKUP(G85,'[1]Price Components'!B:D,3,0)</f>
        <v>EX-SHOWROOM</v>
      </c>
      <c r="J85" s="10">
        <f t="shared" si="1"/>
        <v>4.2500544462927864E-2</v>
      </c>
      <c r="K85" s="11">
        <v>166757</v>
      </c>
      <c r="L85" s="12">
        <f t="shared" si="2"/>
        <v>-469.88327204002417</v>
      </c>
      <c r="M85" s="11">
        <v>166287.11672795998</v>
      </c>
      <c r="N85" s="8">
        <v>1279</v>
      </c>
      <c r="O85" s="13">
        <f>VLOOKUP(G85,'[1]Price Components'!B:E,4,0)</f>
        <v>1035</v>
      </c>
      <c r="P85" s="13">
        <f t="shared" si="3"/>
        <v>168601</v>
      </c>
      <c r="Q85" s="14">
        <f>ROUND(IF(F85&lt;500,VLOOKUP(G85,'[1]Price Components'!B:G,5,0),VLOOKUP(G85,'[1]Price Components'!B:G,6,0)),2)</f>
        <v>1622</v>
      </c>
      <c r="R85" s="11">
        <f t="shared" si="4"/>
        <v>9172</v>
      </c>
      <c r="S85" s="13">
        <v>0</v>
      </c>
      <c r="T85" s="11">
        <f t="shared" si="5"/>
        <v>9172</v>
      </c>
      <c r="U85" s="11">
        <v>292</v>
      </c>
      <c r="V85" s="13">
        <f t="shared" si="6"/>
        <v>9464</v>
      </c>
      <c r="W85" s="13">
        <f t="shared" si="7"/>
        <v>215809</v>
      </c>
      <c r="X85" s="13">
        <f t="shared" si="8"/>
        <v>179687</v>
      </c>
      <c r="Y85" s="13">
        <f t="shared" si="9"/>
        <v>50312</v>
      </c>
      <c r="Z85" s="11">
        <v>0</v>
      </c>
      <c r="AA85" s="13">
        <f>ROUND(X85+Y85+Z85,0)+1</f>
        <v>230000</v>
      </c>
      <c r="AB85" s="13" t="str">
        <f t="shared" si="11"/>
        <v>C</v>
      </c>
      <c r="AC85" s="15">
        <f>IF(AB85="A",VLOOKUP($G85,'[1]Price Components'!$B:$AC,7,0),IF(AB85="B",VLOOKUP($G85,'[1]Price Components'!$B:$AC,8,0),IF(AB85="C",VLOOKUP($G85,'[1]Price Components'!$B:$AC,9,0),IF(AB85="E",15%,IF(AB85="D",VLOOKUP($G85,'[1]Price Components'!$B:$AC,10,0))))))</f>
        <v>0.08</v>
      </c>
      <c r="AD85" s="13">
        <f>ROUND(IF(AC85=0,VLOOKUP($G85,'[1]Price Components'!$B:$AC,11,0),IF(I85="BASIC",X85*AC85,AA85*AC85)),0)</f>
        <v>18400</v>
      </c>
      <c r="AE85" s="13">
        <f>ROUND(VLOOKUP($G85,'[1]Price Components'!$B:$AC,12,0),0)</f>
        <v>1075</v>
      </c>
      <c r="AF85" s="16">
        <f>VLOOKUP($G85,'[1]Price Components'!$B:$AC,14,0)</f>
        <v>7.92E-3</v>
      </c>
      <c r="AG85" s="16">
        <f>VLOOKUP($G85,'[1]Price Components'!$B:$AC,15,0)</f>
        <v>8.2979999999999998E-3</v>
      </c>
      <c r="AH85" s="13">
        <f t="shared" si="12"/>
        <v>1731</v>
      </c>
      <c r="AI85" s="13">
        <f t="shared" si="13"/>
        <v>7740</v>
      </c>
      <c r="AJ85" s="13">
        <f t="shared" si="14"/>
        <v>1705</v>
      </c>
      <c r="AK85" s="13">
        <f t="shared" si="15"/>
        <v>11176</v>
      </c>
      <c r="AL85" s="13">
        <f t="shared" si="16"/>
        <v>260651</v>
      </c>
      <c r="AM85" s="17"/>
      <c r="AN85" s="18">
        <v>230000</v>
      </c>
      <c r="AO85" s="18">
        <f t="shared" si="17"/>
        <v>0</v>
      </c>
      <c r="AP85" s="18"/>
    </row>
    <row r="86" spans="1:42" ht="15.75" customHeight="1" x14ac:dyDescent="0.3">
      <c r="A86" s="7"/>
      <c r="B86" s="7"/>
      <c r="C86" s="7" t="str">
        <f t="shared" si="0"/>
        <v>VBFV60RR13</v>
      </c>
      <c r="D86" s="7" t="s">
        <v>37</v>
      </c>
      <c r="E86" s="7"/>
      <c r="F86" s="8">
        <v>350</v>
      </c>
      <c r="G86" s="9" t="s">
        <v>56</v>
      </c>
      <c r="H86" s="7" t="str">
        <f>VLOOKUP(G86,'[1]Price Components'!B:C,2,0)</f>
        <v>Maharashtra</v>
      </c>
      <c r="I86" s="7" t="str">
        <f>VLOOKUP(G86,'[1]Price Components'!B:D,3,0)</f>
        <v>EX-SHOWROOM</v>
      </c>
      <c r="J86" s="10">
        <f t="shared" si="1"/>
        <v>4.2501790505510478E-2</v>
      </c>
      <c r="K86" s="11">
        <v>144158</v>
      </c>
      <c r="L86" s="12">
        <f t="shared" si="2"/>
        <v>22.96387821555254</v>
      </c>
      <c r="M86" s="11">
        <v>144180.96387821555</v>
      </c>
      <c r="N86" s="8">
        <v>1279</v>
      </c>
      <c r="O86" s="13">
        <f>VLOOKUP(G86,'[1]Price Components'!B:E,4,0)</f>
        <v>710</v>
      </c>
      <c r="P86" s="13">
        <f t="shared" si="3"/>
        <v>146170</v>
      </c>
      <c r="Q86" s="14">
        <f>ROUND(IF(F86&lt;500,VLOOKUP(G86,'[1]Price Components'!B:G,5,0),VLOOKUP(G86,'[1]Price Components'!B:G,6,0)),2)</f>
        <v>1445</v>
      </c>
      <c r="R86" s="11">
        <f t="shared" si="4"/>
        <v>7952</v>
      </c>
      <c r="S86" s="13">
        <v>0</v>
      </c>
      <c r="T86" s="11">
        <f t="shared" si="5"/>
        <v>7952</v>
      </c>
      <c r="U86" s="11">
        <v>292</v>
      </c>
      <c r="V86" s="13">
        <f t="shared" si="6"/>
        <v>8244</v>
      </c>
      <c r="W86" s="13">
        <f t="shared" si="7"/>
        <v>187098</v>
      </c>
      <c r="X86" s="13">
        <f t="shared" si="8"/>
        <v>155859</v>
      </c>
      <c r="Y86" s="13">
        <f t="shared" si="9"/>
        <v>43641</v>
      </c>
      <c r="Z86" s="11">
        <v>0</v>
      </c>
      <c r="AA86" s="13">
        <f t="shared" ref="AA86:AA89" si="32">ROUND(X86+Y86+Z86,0)</f>
        <v>199500</v>
      </c>
      <c r="AB86" s="13" t="str">
        <f t="shared" si="11"/>
        <v>B</v>
      </c>
      <c r="AC86" s="15">
        <f>IF(AB86="A",VLOOKUP($G86,'[1]Price Components'!$B:$AC,7,0),IF(AB86="B",VLOOKUP($G86,'[1]Price Components'!$B:$AC,8,0),IF(AB86="C",VLOOKUP($G86,'[1]Price Components'!$B:$AC,9,0),IF(AB86="E",15%,IF(AB86="D",VLOOKUP($G86,'[1]Price Components'!$B:$AC,10,0))))))</f>
        <v>0.12239999999999999</v>
      </c>
      <c r="AD86" s="13">
        <f>ROUND(IF(AC86=0,VLOOKUP($G86,'[1]Price Components'!$B:$AC,11,0),IF(I86="BASIC",X86*AC86,AA86*AC86)),0)</f>
        <v>24419</v>
      </c>
      <c r="AE86" s="13">
        <f>ROUND(VLOOKUP($G86,'[1]Price Components'!$B:$AC,12,0),0)</f>
        <v>600</v>
      </c>
      <c r="AF86" s="16">
        <f>VLOOKUP($G86,'[1]Price Components'!$B:$AC,14,0)</f>
        <v>7.92E-3</v>
      </c>
      <c r="AG86" s="16">
        <f>VLOOKUP($G86,'[1]Price Components'!$B:$AC,15,0)</f>
        <v>8.2979999999999998E-3</v>
      </c>
      <c r="AH86" s="13">
        <f t="shared" si="12"/>
        <v>1501</v>
      </c>
      <c r="AI86" s="13">
        <f t="shared" si="13"/>
        <v>7740</v>
      </c>
      <c r="AJ86" s="13">
        <f t="shared" si="14"/>
        <v>1663</v>
      </c>
      <c r="AK86" s="13">
        <f t="shared" si="15"/>
        <v>10904</v>
      </c>
      <c r="AL86" s="13">
        <f t="shared" si="16"/>
        <v>235423</v>
      </c>
      <c r="AM86" s="17"/>
      <c r="AN86" s="18">
        <v>199500</v>
      </c>
      <c r="AO86" s="18">
        <f t="shared" si="17"/>
        <v>0</v>
      </c>
      <c r="AP86" s="18"/>
    </row>
    <row r="87" spans="1:42" ht="15.75" customHeight="1" x14ac:dyDescent="0.3">
      <c r="A87" s="7"/>
      <c r="B87" s="7"/>
      <c r="C87" s="7" t="str">
        <f t="shared" si="0"/>
        <v>VBFV60EB13</v>
      </c>
      <c r="D87" s="7" t="s">
        <v>39</v>
      </c>
      <c r="E87" s="7"/>
      <c r="F87" s="8">
        <v>350</v>
      </c>
      <c r="G87" s="9" t="s">
        <v>56</v>
      </c>
      <c r="H87" s="7" t="str">
        <f>VLOOKUP(G87,'[1]Price Components'!B:C,2,0)</f>
        <v>Maharashtra</v>
      </c>
      <c r="I87" s="7" t="str">
        <f>VLOOKUP(G87,'[1]Price Components'!B:D,3,0)</f>
        <v>EX-SHOWROOM</v>
      </c>
      <c r="J87" s="10">
        <f t="shared" si="1"/>
        <v>4.2501790505510478E-2</v>
      </c>
      <c r="K87" s="11">
        <v>144158</v>
      </c>
      <c r="L87" s="12">
        <f t="shared" si="2"/>
        <v>22.96387821555254</v>
      </c>
      <c r="M87" s="11">
        <v>144180.96387821555</v>
      </c>
      <c r="N87" s="8">
        <v>1279</v>
      </c>
      <c r="O87" s="13">
        <f>VLOOKUP(G87,'[1]Price Components'!B:E,4,0)</f>
        <v>710</v>
      </c>
      <c r="P87" s="13">
        <f t="shared" si="3"/>
        <v>146170</v>
      </c>
      <c r="Q87" s="14">
        <f>ROUND(IF(F87&lt;500,VLOOKUP(G87,'[1]Price Components'!B:G,5,0),VLOOKUP(G87,'[1]Price Components'!B:G,6,0)),2)</f>
        <v>1445</v>
      </c>
      <c r="R87" s="11">
        <f t="shared" si="4"/>
        <v>7952</v>
      </c>
      <c r="S87" s="13">
        <v>0</v>
      </c>
      <c r="T87" s="11">
        <f t="shared" si="5"/>
        <v>7952</v>
      </c>
      <c r="U87" s="11">
        <v>292</v>
      </c>
      <c r="V87" s="13">
        <f t="shared" si="6"/>
        <v>8244</v>
      </c>
      <c r="W87" s="13">
        <f t="shared" si="7"/>
        <v>187098</v>
      </c>
      <c r="X87" s="13">
        <f t="shared" si="8"/>
        <v>155859</v>
      </c>
      <c r="Y87" s="13">
        <f t="shared" si="9"/>
        <v>43641</v>
      </c>
      <c r="Z87" s="11">
        <v>0</v>
      </c>
      <c r="AA87" s="13">
        <f t="shared" si="32"/>
        <v>199500</v>
      </c>
      <c r="AB87" s="13" t="str">
        <f t="shared" si="11"/>
        <v>B</v>
      </c>
      <c r="AC87" s="15">
        <f>IF(AB87="A",VLOOKUP($G87,'[1]Price Components'!$B:$AC,7,0),IF(AB87="B",VLOOKUP($G87,'[1]Price Components'!$B:$AC,8,0),IF(AB87="C",VLOOKUP($G87,'[1]Price Components'!$B:$AC,9,0),IF(AB87="E",15%,IF(AB87="D",VLOOKUP($G87,'[1]Price Components'!$B:$AC,10,0))))))</f>
        <v>0.12239999999999999</v>
      </c>
      <c r="AD87" s="13">
        <f>ROUND(IF(AC87=0,VLOOKUP($G87,'[1]Price Components'!$B:$AC,11,0),IF(I87="BASIC",X87*AC87,AA87*AC87)),0)</f>
        <v>24419</v>
      </c>
      <c r="AE87" s="13">
        <f>ROUND(VLOOKUP($G87,'[1]Price Components'!$B:$AC,12,0),0)</f>
        <v>600</v>
      </c>
      <c r="AF87" s="16">
        <f>VLOOKUP($G87,'[1]Price Components'!$B:$AC,14,0)</f>
        <v>7.92E-3</v>
      </c>
      <c r="AG87" s="16">
        <f>VLOOKUP($G87,'[1]Price Components'!$B:$AC,15,0)</f>
        <v>8.2979999999999998E-3</v>
      </c>
      <c r="AH87" s="13">
        <f t="shared" si="12"/>
        <v>1501</v>
      </c>
      <c r="AI87" s="13">
        <f t="shared" si="13"/>
        <v>7740</v>
      </c>
      <c r="AJ87" s="13">
        <f t="shared" si="14"/>
        <v>1663</v>
      </c>
      <c r="AK87" s="13">
        <f t="shared" si="15"/>
        <v>10904</v>
      </c>
      <c r="AL87" s="13">
        <f t="shared" si="16"/>
        <v>235423</v>
      </c>
      <c r="AM87" s="17"/>
      <c r="AN87" s="18">
        <v>199500</v>
      </c>
      <c r="AO87" s="18">
        <f t="shared" si="17"/>
        <v>0</v>
      </c>
      <c r="AP87" s="18"/>
    </row>
    <row r="88" spans="1:42" ht="15.75" customHeight="1" x14ac:dyDescent="0.3">
      <c r="A88" s="7"/>
      <c r="B88" s="7"/>
      <c r="C88" s="7" t="str">
        <f t="shared" si="0"/>
        <v>VBFV60HG13</v>
      </c>
      <c r="D88" s="7" t="s">
        <v>40</v>
      </c>
      <c r="E88" s="7"/>
      <c r="F88" s="8">
        <v>350</v>
      </c>
      <c r="G88" s="9" t="s">
        <v>56</v>
      </c>
      <c r="H88" s="7" t="str">
        <f>VLOOKUP(G88,'[1]Price Components'!B:C,2,0)</f>
        <v>Maharashtra</v>
      </c>
      <c r="I88" s="7" t="str">
        <f>VLOOKUP(G88,'[1]Price Components'!B:D,3,0)</f>
        <v>EX-SHOWROOM</v>
      </c>
      <c r="J88" s="10">
        <f t="shared" si="1"/>
        <v>4.2499712592623556E-2</v>
      </c>
      <c r="K88" s="11">
        <v>147492</v>
      </c>
      <c r="L88" s="12">
        <f t="shared" si="2"/>
        <v>23.717306532664225</v>
      </c>
      <c r="M88" s="11">
        <v>147515.71730653266</v>
      </c>
      <c r="N88" s="8">
        <v>1279</v>
      </c>
      <c r="O88" s="13">
        <f>VLOOKUP(G88,'[1]Price Components'!B:E,4,0)</f>
        <v>710</v>
      </c>
      <c r="P88" s="13">
        <f t="shared" si="3"/>
        <v>149505</v>
      </c>
      <c r="Q88" s="14">
        <f>ROUND(IF(F88&lt;500,VLOOKUP(G88,'[1]Price Components'!B:G,5,0),VLOOKUP(G88,'[1]Price Components'!B:G,6,0)),2)</f>
        <v>1445</v>
      </c>
      <c r="R88" s="11">
        <f t="shared" si="4"/>
        <v>8133</v>
      </c>
      <c r="S88" s="13">
        <v>0</v>
      </c>
      <c r="T88" s="11">
        <f t="shared" si="5"/>
        <v>8133</v>
      </c>
      <c r="U88" s="11">
        <v>292</v>
      </c>
      <c r="V88" s="13">
        <f t="shared" si="6"/>
        <v>8425</v>
      </c>
      <c r="W88" s="13">
        <f t="shared" si="7"/>
        <v>191366</v>
      </c>
      <c r="X88" s="13">
        <f t="shared" si="8"/>
        <v>159375</v>
      </c>
      <c r="Y88" s="13">
        <f t="shared" si="9"/>
        <v>44625</v>
      </c>
      <c r="Z88" s="11">
        <v>0</v>
      </c>
      <c r="AA88" s="13">
        <f t="shared" si="32"/>
        <v>204000</v>
      </c>
      <c r="AB88" s="13" t="str">
        <f t="shared" si="11"/>
        <v>C</v>
      </c>
      <c r="AC88" s="15">
        <f>IF(AB88="A",VLOOKUP($G88,'[1]Price Components'!$B:$AC,7,0),IF(AB88="B",VLOOKUP($G88,'[1]Price Components'!$B:$AC,8,0),IF(AB88="C",VLOOKUP($G88,'[1]Price Components'!$B:$AC,9,0),IF(AB88="E",15%,IF(AB88="D",VLOOKUP($G88,'[1]Price Components'!$B:$AC,10,0))))))</f>
        <v>0.12239999999999999</v>
      </c>
      <c r="AD88" s="13">
        <f>ROUND(IF(AC88=0,VLOOKUP($G88,'[1]Price Components'!$B:$AC,11,0),IF(I88="BASIC",X88*AC88,AA88*AC88)),0)</f>
        <v>24970</v>
      </c>
      <c r="AE88" s="13">
        <f>ROUND(VLOOKUP($G88,'[1]Price Components'!$B:$AC,12,0),0)</f>
        <v>600</v>
      </c>
      <c r="AF88" s="16">
        <f>VLOOKUP($G88,'[1]Price Components'!$B:$AC,14,0)</f>
        <v>7.92E-3</v>
      </c>
      <c r="AG88" s="16">
        <f>VLOOKUP($G88,'[1]Price Components'!$B:$AC,15,0)</f>
        <v>8.2979999999999998E-3</v>
      </c>
      <c r="AH88" s="13">
        <f t="shared" si="12"/>
        <v>1535</v>
      </c>
      <c r="AI88" s="13">
        <f t="shared" si="13"/>
        <v>7740</v>
      </c>
      <c r="AJ88" s="13">
        <f t="shared" si="14"/>
        <v>1670</v>
      </c>
      <c r="AK88" s="13">
        <f t="shared" si="15"/>
        <v>10945</v>
      </c>
      <c r="AL88" s="13">
        <f t="shared" si="16"/>
        <v>240515</v>
      </c>
      <c r="AM88" s="17"/>
      <c r="AN88" s="18">
        <v>204000</v>
      </c>
      <c r="AO88" s="18">
        <f t="shared" si="17"/>
        <v>0</v>
      </c>
      <c r="AP88" s="18"/>
    </row>
    <row r="89" spans="1:42" ht="15.75" customHeight="1" x14ac:dyDescent="0.3">
      <c r="A89" s="7"/>
      <c r="B89" s="7"/>
      <c r="C89" s="7" t="str">
        <f t="shared" si="0"/>
        <v>VBFV60SE13</v>
      </c>
      <c r="D89" s="7" t="s">
        <v>41</v>
      </c>
      <c r="E89" s="7"/>
      <c r="F89" s="8">
        <v>350</v>
      </c>
      <c r="G89" s="9" t="s">
        <v>56</v>
      </c>
      <c r="H89" s="7" t="str">
        <f>VLOOKUP(G89,'[1]Price Components'!B:C,2,0)</f>
        <v>Maharashtra</v>
      </c>
      <c r="I89" s="7" t="str">
        <f>VLOOKUP(G89,'[1]Price Components'!B:D,3,0)</f>
        <v>EX-SHOWROOM</v>
      </c>
      <c r="J89" s="10">
        <f t="shared" si="1"/>
        <v>4.2501245394506455E-2</v>
      </c>
      <c r="K89" s="11">
        <v>156384</v>
      </c>
      <c r="L89" s="12">
        <f t="shared" si="2"/>
        <v>22.95373475010274</v>
      </c>
      <c r="M89" s="11">
        <v>156406.9537347501</v>
      </c>
      <c r="N89" s="8">
        <v>1279</v>
      </c>
      <c r="O89" s="13">
        <f>VLOOKUP(G89,'[1]Price Components'!B:E,4,0)</f>
        <v>710</v>
      </c>
      <c r="P89" s="13">
        <f t="shared" si="3"/>
        <v>158396</v>
      </c>
      <c r="Q89" s="14">
        <f>ROUND(IF(F89&lt;500,VLOOKUP(G89,'[1]Price Components'!B:G,5,0),VLOOKUP(G89,'[1]Price Components'!B:G,6,0)),2)</f>
        <v>1445</v>
      </c>
      <c r="R89" s="11">
        <f t="shared" si="4"/>
        <v>8617</v>
      </c>
      <c r="S89" s="13">
        <v>0</v>
      </c>
      <c r="T89" s="11">
        <f t="shared" si="5"/>
        <v>8617</v>
      </c>
      <c r="U89" s="11">
        <v>292</v>
      </c>
      <c r="V89" s="13">
        <f t="shared" si="6"/>
        <v>8909</v>
      </c>
      <c r="W89" s="13">
        <f t="shared" si="7"/>
        <v>202747</v>
      </c>
      <c r="X89" s="13">
        <f t="shared" si="8"/>
        <v>168750</v>
      </c>
      <c r="Y89" s="13">
        <f t="shared" si="9"/>
        <v>47250</v>
      </c>
      <c r="Z89" s="11">
        <v>0</v>
      </c>
      <c r="AA89" s="13">
        <f t="shared" si="32"/>
        <v>216000</v>
      </c>
      <c r="AB89" s="13" t="str">
        <f t="shared" si="11"/>
        <v>C</v>
      </c>
      <c r="AC89" s="15">
        <f>IF(AB89="A",VLOOKUP($G89,'[1]Price Components'!$B:$AC,7,0),IF(AB89="B",VLOOKUP($G89,'[1]Price Components'!$B:$AC,8,0),IF(AB89="C",VLOOKUP($G89,'[1]Price Components'!$B:$AC,9,0),IF(AB89="E",15%,IF(AB89="D",VLOOKUP($G89,'[1]Price Components'!$B:$AC,10,0))))))</f>
        <v>0.12239999999999999</v>
      </c>
      <c r="AD89" s="13">
        <f>ROUND(IF(AC89=0,VLOOKUP($G89,'[1]Price Components'!$B:$AC,11,0),IF(I89="BASIC",X89*AC89,AA89*AC89)),0)</f>
        <v>26438</v>
      </c>
      <c r="AE89" s="13">
        <f>ROUND(VLOOKUP($G89,'[1]Price Components'!$B:$AC,12,0),0)</f>
        <v>600</v>
      </c>
      <c r="AF89" s="16">
        <f>VLOOKUP($G89,'[1]Price Components'!$B:$AC,14,0)</f>
        <v>7.92E-3</v>
      </c>
      <c r="AG89" s="16">
        <f>VLOOKUP($G89,'[1]Price Components'!$B:$AC,15,0)</f>
        <v>8.2979999999999998E-3</v>
      </c>
      <c r="AH89" s="13">
        <f t="shared" si="12"/>
        <v>1625</v>
      </c>
      <c r="AI89" s="13">
        <f t="shared" si="13"/>
        <v>7740</v>
      </c>
      <c r="AJ89" s="13">
        <f t="shared" si="14"/>
        <v>1686</v>
      </c>
      <c r="AK89" s="13">
        <f t="shared" si="15"/>
        <v>11051</v>
      </c>
      <c r="AL89" s="13">
        <f t="shared" si="16"/>
        <v>254089</v>
      </c>
      <c r="AM89" s="17"/>
      <c r="AN89" s="18">
        <v>216000</v>
      </c>
      <c r="AO89" s="18">
        <f t="shared" si="17"/>
        <v>0</v>
      </c>
      <c r="AP89" s="18"/>
    </row>
    <row r="90" spans="1:42" ht="15.75" customHeight="1" x14ac:dyDescent="0.3">
      <c r="A90" s="7"/>
      <c r="B90" s="7"/>
      <c r="C90" s="7" t="str">
        <f t="shared" si="0"/>
        <v>VBFV60GM13</v>
      </c>
      <c r="D90" s="7" t="s">
        <v>42</v>
      </c>
      <c r="E90" s="7"/>
      <c r="F90" s="8">
        <v>350</v>
      </c>
      <c r="G90" s="9" t="s">
        <v>56</v>
      </c>
      <c r="H90" s="7" t="str">
        <f>VLOOKUP(G90,'[1]Price Components'!B:C,2,0)</f>
        <v>Maharashtra</v>
      </c>
      <c r="I90" s="7" t="str">
        <f>VLOOKUP(G90,'[1]Price Components'!B:D,3,0)</f>
        <v>EX-SHOWROOM</v>
      </c>
      <c r="J90" s="10">
        <f t="shared" si="1"/>
        <v>4.2502236337045571E-2</v>
      </c>
      <c r="K90" s="11">
        <v>163052</v>
      </c>
      <c r="L90" s="12">
        <f t="shared" si="2"/>
        <v>24.4458818975545</v>
      </c>
      <c r="M90" s="11">
        <v>163076.44588189755</v>
      </c>
      <c r="N90" s="8">
        <v>1279</v>
      </c>
      <c r="O90" s="13">
        <f>VLOOKUP(G90,'[1]Price Components'!B:E,4,0)</f>
        <v>710</v>
      </c>
      <c r="P90" s="13">
        <f t="shared" si="3"/>
        <v>165065</v>
      </c>
      <c r="Q90" s="14">
        <f>ROUND(IF(F90&lt;500,VLOOKUP(G90,'[1]Price Components'!B:G,5,0),VLOOKUP(G90,'[1]Price Components'!B:G,6,0)),2)</f>
        <v>1445</v>
      </c>
      <c r="R90" s="11">
        <f t="shared" si="4"/>
        <v>8980</v>
      </c>
      <c r="S90" s="13">
        <v>0</v>
      </c>
      <c r="T90" s="11">
        <f t="shared" si="5"/>
        <v>8980</v>
      </c>
      <c r="U90" s="11">
        <v>292</v>
      </c>
      <c r="V90" s="13">
        <f t="shared" si="6"/>
        <v>9272</v>
      </c>
      <c r="W90" s="13">
        <f t="shared" si="7"/>
        <v>211283</v>
      </c>
      <c r="X90" s="13">
        <f t="shared" si="8"/>
        <v>175782</v>
      </c>
      <c r="Y90" s="13">
        <f t="shared" si="9"/>
        <v>49219</v>
      </c>
      <c r="Z90" s="11">
        <v>0</v>
      </c>
      <c r="AA90" s="13">
        <f t="shared" ref="AA90:AA91" si="33">ROUND(X90+Y90+Z90,0)-1</f>
        <v>225000</v>
      </c>
      <c r="AB90" s="13" t="str">
        <f t="shared" si="11"/>
        <v>C</v>
      </c>
      <c r="AC90" s="15">
        <f>IF(AB90="A",VLOOKUP($G90,'[1]Price Components'!$B:$AC,7,0),IF(AB90="B",VLOOKUP($G90,'[1]Price Components'!$B:$AC,8,0),IF(AB90="C",VLOOKUP($G90,'[1]Price Components'!$B:$AC,9,0),IF(AB90="E",15%,IF(AB90="D",VLOOKUP($G90,'[1]Price Components'!$B:$AC,10,0))))))</f>
        <v>0.12239999999999999</v>
      </c>
      <c r="AD90" s="13">
        <f>ROUND(IF(AC90=0,VLOOKUP($G90,'[1]Price Components'!$B:$AC,11,0),IF(I90="BASIC",X90*AC90,AA90*AC90)),0)</f>
        <v>27540</v>
      </c>
      <c r="AE90" s="13">
        <f>ROUND(VLOOKUP($G90,'[1]Price Components'!$B:$AC,12,0),0)</f>
        <v>600</v>
      </c>
      <c r="AF90" s="16">
        <f>VLOOKUP($G90,'[1]Price Components'!$B:$AC,14,0)</f>
        <v>7.92E-3</v>
      </c>
      <c r="AG90" s="16">
        <f>VLOOKUP($G90,'[1]Price Components'!$B:$AC,15,0)</f>
        <v>8.2979999999999998E-3</v>
      </c>
      <c r="AH90" s="13">
        <f t="shared" si="12"/>
        <v>1693</v>
      </c>
      <c r="AI90" s="13">
        <f t="shared" si="13"/>
        <v>7740</v>
      </c>
      <c r="AJ90" s="13">
        <f t="shared" si="14"/>
        <v>1698</v>
      </c>
      <c r="AK90" s="13">
        <f t="shared" si="15"/>
        <v>11131</v>
      </c>
      <c r="AL90" s="13">
        <f t="shared" si="16"/>
        <v>264271</v>
      </c>
      <c r="AM90" s="17"/>
      <c r="AN90" s="18">
        <v>225000</v>
      </c>
      <c r="AO90" s="18">
        <f t="shared" si="17"/>
        <v>0</v>
      </c>
      <c r="AP90" s="18"/>
    </row>
    <row r="91" spans="1:42" ht="15.75" customHeight="1" x14ac:dyDescent="0.3">
      <c r="A91" s="7"/>
      <c r="B91" s="7"/>
      <c r="C91" s="7" t="str">
        <f t="shared" si="0"/>
        <v>VBFV60SB13</v>
      </c>
      <c r="D91" s="7" t="s">
        <v>43</v>
      </c>
      <c r="E91" s="7"/>
      <c r="F91" s="8">
        <v>350</v>
      </c>
      <c r="G91" s="9" t="s">
        <v>56</v>
      </c>
      <c r="H91" s="7" t="str">
        <f>VLOOKUP(G91,'[1]Price Components'!B:C,2,0)</f>
        <v>Maharashtra</v>
      </c>
      <c r="I91" s="7" t="str">
        <f>VLOOKUP(G91,'[1]Price Components'!B:D,3,0)</f>
        <v>EX-SHOWROOM</v>
      </c>
      <c r="J91" s="10">
        <f t="shared" si="1"/>
        <v>4.2502236337045571E-2</v>
      </c>
      <c r="K91" s="11">
        <v>163052</v>
      </c>
      <c r="L91" s="12">
        <f t="shared" si="2"/>
        <v>24.4458818975545</v>
      </c>
      <c r="M91" s="11">
        <v>163076.44588189755</v>
      </c>
      <c r="N91" s="8">
        <v>1279</v>
      </c>
      <c r="O91" s="13">
        <f>VLOOKUP(G91,'[1]Price Components'!B:E,4,0)</f>
        <v>710</v>
      </c>
      <c r="P91" s="13">
        <f t="shared" si="3"/>
        <v>165065</v>
      </c>
      <c r="Q91" s="14">
        <f>ROUND(IF(F91&lt;500,VLOOKUP(G91,'[1]Price Components'!B:G,5,0),VLOOKUP(G91,'[1]Price Components'!B:G,6,0)),2)</f>
        <v>1445</v>
      </c>
      <c r="R91" s="11">
        <f t="shared" si="4"/>
        <v>8980</v>
      </c>
      <c r="S91" s="13">
        <v>0</v>
      </c>
      <c r="T91" s="11">
        <f t="shared" si="5"/>
        <v>8980</v>
      </c>
      <c r="U91" s="11">
        <v>292</v>
      </c>
      <c r="V91" s="13">
        <f t="shared" si="6"/>
        <v>9272</v>
      </c>
      <c r="W91" s="13">
        <f t="shared" si="7"/>
        <v>211283</v>
      </c>
      <c r="X91" s="13">
        <f t="shared" si="8"/>
        <v>175782</v>
      </c>
      <c r="Y91" s="13">
        <f t="shared" si="9"/>
        <v>49219</v>
      </c>
      <c r="Z91" s="11">
        <v>0</v>
      </c>
      <c r="AA91" s="13">
        <f t="shared" si="33"/>
        <v>225000</v>
      </c>
      <c r="AB91" s="13" t="str">
        <f t="shared" si="11"/>
        <v>C</v>
      </c>
      <c r="AC91" s="15">
        <f>IF(AB91="A",VLOOKUP($G91,'[1]Price Components'!$B:$AC,7,0),IF(AB91="B",VLOOKUP($G91,'[1]Price Components'!$B:$AC,8,0),IF(AB91="C",VLOOKUP($G91,'[1]Price Components'!$B:$AC,9,0),IF(AB91="E",15%,IF(AB91="D",VLOOKUP($G91,'[1]Price Components'!$B:$AC,10,0))))))</f>
        <v>0.12239999999999999</v>
      </c>
      <c r="AD91" s="13">
        <f>ROUND(IF(AC91=0,VLOOKUP($G91,'[1]Price Components'!$B:$AC,11,0),IF(I91="BASIC",X91*AC91,AA91*AC91)),0)</f>
        <v>27540</v>
      </c>
      <c r="AE91" s="13">
        <f>ROUND(VLOOKUP($G91,'[1]Price Components'!$B:$AC,12,0),0)</f>
        <v>600</v>
      </c>
      <c r="AF91" s="16">
        <f>VLOOKUP($G91,'[1]Price Components'!$B:$AC,14,0)</f>
        <v>7.92E-3</v>
      </c>
      <c r="AG91" s="16">
        <f>VLOOKUP($G91,'[1]Price Components'!$B:$AC,15,0)</f>
        <v>8.2979999999999998E-3</v>
      </c>
      <c r="AH91" s="13">
        <f t="shared" si="12"/>
        <v>1693</v>
      </c>
      <c r="AI91" s="13">
        <f t="shared" si="13"/>
        <v>7740</v>
      </c>
      <c r="AJ91" s="13">
        <f t="shared" si="14"/>
        <v>1698</v>
      </c>
      <c r="AK91" s="13">
        <f t="shared" si="15"/>
        <v>11131</v>
      </c>
      <c r="AL91" s="13">
        <f t="shared" si="16"/>
        <v>264271</v>
      </c>
      <c r="AM91" s="17"/>
      <c r="AN91" s="18">
        <v>225000</v>
      </c>
      <c r="AO91" s="18">
        <f t="shared" si="17"/>
        <v>0</v>
      </c>
      <c r="AP91" s="18"/>
    </row>
    <row r="92" spans="1:42" ht="15.75" customHeight="1" x14ac:dyDescent="0.3">
      <c r="A92" s="7"/>
      <c r="B92" s="7"/>
      <c r="C92" s="7" t="str">
        <f t="shared" si="0"/>
        <v>VBFV60DN13</v>
      </c>
      <c r="D92" s="7" t="s">
        <v>44</v>
      </c>
      <c r="E92" s="7"/>
      <c r="F92" s="8">
        <v>350</v>
      </c>
      <c r="G92" s="9" t="s">
        <v>56</v>
      </c>
      <c r="H92" s="7" t="str">
        <f>VLOOKUP(G92,'[1]Price Components'!B:C,2,0)</f>
        <v>Maharashtra</v>
      </c>
      <c r="I92" s="7" t="str">
        <f>VLOOKUP(G92,'[1]Price Components'!B:D,3,0)</f>
        <v>EX-SHOWROOM</v>
      </c>
      <c r="J92" s="10">
        <f t="shared" si="1"/>
        <v>4.2499907417694327E-2</v>
      </c>
      <c r="K92" s="11">
        <v>166757</v>
      </c>
      <c r="L92" s="12">
        <f t="shared" si="2"/>
        <v>22.965425823698752</v>
      </c>
      <c r="M92" s="11">
        <v>166779.9654258237</v>
      </c>
      <c r="N92" s="8">
        <v>1279</v>
      </c>
      <c r="O92" s="13">
        <f>VLOOKUP(G92,'[1]Price Components'!B:E,4,0)</f>
        <v>710</v>
      </c>
      <c r="P92" s="13">
        <f t="shared" si="3"/>
        <v>168769</v>
      </c>
      <c r="Q92" s="14">
        <f>ROUND(IF(F92&lt;500,VLOOKUP(G92,'[1]Price Components'!B:G,5,0),VLOOKUP(G92,'[1]Price Components'!B:G,6,0)),2)</f>
        <v>1445</v>
      </c>
      <c r="R92" s="11">
        <f t="shared" si="4"/>
        <v>9181</v>
      </c>
      <c r="S92" s="13">
        <v>0</v>
      </c>
      <c r="T92" s="11">
        <f t="shared" si="5"/>
        <v>9181</v>
      </c>
      <c r="U92" s="11">
        <v>292</v>
      </c>
      <c r="V92" s="13">
        <f t="shared" si="6"/>
        <v>9473</v>
      </c>
      <c r="W92" s="13">
        <f t="shared" si="7"/>
        <v>216024</v>
      </c>
      <c r="X92" s="13">
        <f t="shared" si="8"/>
        <v>179687</v>
      </c>
      <c r="Y92" s="13">
        <f t="shared" si="9"/>
        <v>50312</v>
      </c>
      <c r="Z92" s="11">
        <v>0</v>
      </c>
      <c r="AA92" s="13">
        <f t="shared" ref="AA92:AA93" si="34">ROUND(X92+Y92+Z92,0)+1</f>
        <v>230000</v>
      </c>
      <c r="AB92" s="13" t="str">
        <f t="shared" si="11"/>
        <v>C</v>
      </c>
      <c r="AC92" s="15">
        <f>IF(AB92="A",VLOOKUP($G92,'[1]Price Components'!$B:$AC,7,0),IF(AB92="B",VLOOKUP($G92,'[1]Price Components'!$B:$AC,8,0),IF(AB92="C",VLOOKUP($G92,'[1]Price Components'!$B:$AC,9,0),IF(AB92="E",15%,IF(AB92="D",VLOOKUP($G92,'[1]Price Components'!$B:$AC,10,0))))))</f>
        <v>0.12239999999999999</v>
      </c>
      <c r="AD92" s="13">
        <f>ROUND(IF(AC92=0,VLOOKUP($G92,'[1]Price Components'!$B:$AC,11,0),IF(I92="BASIC",X92*AC92,AA92*AC92)),0)</f>
        <v>28152</v>
      </c>
      <c r="AE92" s="13">
        <f>ROUND(VLOOKUP($G92,'[1]Price Components'!$B:$AC,12,0),0)</f>
        <v>600</v>
      </c>
      <c r="AF92" s="16">
        <f>VLOOKUP($G92,'[1]Price Components'!$B:$AC,14,0)</f>
        <v>7.92E-3</v>
      </c>
      <c r="AG92" s="16">
        <f>VLOOKUP($G92,'[1]Price Components'!$B:$AC,15,0)</f>
        <v>8.2979999999999998E-3</v>
      </c>
      <c r="AH92" s="13">
        <f t="shared" si="12"/>
        <v>1731</v>
      </c>
      <c r="AI92" s="13">
        <f t="shared" si="13"/>
        <v>7740</v>
      </c>
      <c r="AJ92" s="13">
        <f t="shared" si="14"/>
        <v>1705</v>
      </c>
      <c r="AK92" s="13">
        <f t="shared" si="15"/>
        <v>11176</v>
      </c>
      <c r="AL92" s="13">
        <f t="shared" si="16"/>
        <v>269928</v>
      </c>
      <c r="AM92" s="17"/>
      <c r="AN92" s="18">
        <v>230000</v>
      </c>
      <c r="AO92" s="18">
        <f t="shared" si="17"/>
        <v>0</v>
      </c>
      <c r="AP92" s="18"/>
    </row>
    <row r="93" spans="1:42" ht="15.75" customHeight="1" x14ac:dyDescent="0.3">
      <c r="A93" s="7"/>
      <c r="B93" s="7"/>
      <c r="C93" s="7" t="str">
        <f t="shared" si="0"/>
        <v>VBFV60DN14</v>
      </c>
      <c r="D93" s="7" t="s">
        <v>44</v>
      </c>
      <c r="E93" s="7"/>
      <c r="F93" s="8">
        <v>350</v>
      </c>
      <c r="G93" s="9" t="s">
        <v>57</v>
      </c>
      <c r="H93" s="7" t="str">
        <f>VLOOKUP(G93,'[1]Price Components'!B:C,2,0)</f>
        <v>Manipur</v>
      </c>
      <c r="I93" s="7" t="str">
        <f>VLOOKUP(G93,'[1]Price Components'!B:D,3,0)</f>
        <v>BASIC</v>
      </c>
      <c r="J93" s="10">
        <f t="shared" si="1"/>
        <v>4.2501651618586211E-2</v>
      </c>
      <c r="K93" s="11">
        <v>166757</v>
      </c>
      <c r="L93" s="12">
        <f t="shared" si="2"/>
        <v>-2356.203125</v>
      </c>
      <c r="M93" s="11">
        <v>164400.796875</v>
      </c>
      <c r="N93" s="8">
        <v>1279</v>
      </c>
      <c r="O93" s="13">
        <f>VLOOKUP(G93,'[1]Price Components'!B:E,4,0)</f>
        <v>1060</v>
      </c>
      <c r="P93" s="13">
        <f t="shared" si="3"/>
        <v>166740</v>
      </c>
      <c r="Q93" s="14">
        <f>ROUND(IF(F93&lt;500,VLOOKUP(G93,'[1]Price Components'!B:G,5,0),VLOOKUP(G93,'[1]Price Components'!B:G,6,0)),2)</f>
        <v>3584</v>
      </c>
      <c r="R93" s="11">
        <f t="shared" si="4"/>
        <v>9071</v>
      </c>
      <c r="S93" s="13">
        <v>0</v>
      </c>
      <c r="T93" s="11">
        <f t="shared" si="5"/>
        <v>9071</v>
      </c>
      <c r="U93" s="11">
        <v>292</v>
      </c>
      <c r="V93" s="13">
        <f t="shared" si="6"/>
        <v>9363</v>
      </c>
      <c r="W93" s="13">
        <f t="shared" si="7"/>
        <v>213427</v>
      </c>
      <c r="X93" s="13">
        <f t="shared" si="8"/>
        <v>179687</v>
      </c>
      <c r="Y93" s="13">
        <f t="shared" si="9"/>
        <v>50312</v>
      </c>
      <c r="Z93" s="11">
        <v>0</v>
      </c>
      <c r="AA93" s="13">
        <f t="shared" si="34"/>
        <v>230000</v>
      </c>
      <c r="AB93" s="13" t="str">
        <f t="shared" si="11"/>
        <v>C</v>
      </c>
      <c r="AC93" s="15">
        <f>IF(AB93="A",VLOOKUP($G93,'[1]Price Components'!$B:$AC,7,0),IF(AB93="B",VLOOKUP($G93,'[1]Price Components'!$B:$AC,8,0),IF(AB93="C",VLOOKUP($G93,'[1]Price Components'!$B:$AC,9,0),IF(AB93="E",15%,IF(AB93="D",VLOOKUP($G93,'[1]Price Components'!$B:$AC,10,0))))))</f>
        <v>0.04</v>
      </c>
      <c r="AD93" s="13">
        <f>ROUND(IF(AC93=0,VLOOKUP($G93,'[1]Price Components'!$B:$AC,11,0),IF(I93="BASIC",X93*AC93,AA93*AC93)),0)</f>
        <v>7187</v>
      </c>
      <c r="AE93" s="13">
        <f>ROUND(VLOOKUP($G93,'[1]Price Components'!$B:$AC,12,0),0)</f>
        <v>580</v>
      </c>
      <c r="AF93" s="16">
        <f>VLOOKUP($G93,'[1]Price Components'!$B:$AC,14,0)</f>
        <v>7.92E-3</v>
      </c>
      <c r="AG93" s="16">
        <f>VLOOKUP($G93,'[1]Price Components'!$B:$AC,15,0)</f>
        <v>8.2979999999999998E-3</v>
      </c>
      <c r="AH93" s="13">
        <f t="shared" si="12"/>
        <v>1731</v>
      </c>
      <c r="AI93" s="13">
        <f t="shared" si="13"/>
        <v>7740</v>
      </c>
      <c r="AJ93" s="13">
        <f t="shared" si="14"/>
        <v>1705</v>
      </c>
      <c r="AK93" s="13">
        <f t="shared" si="15"/>
        <v>11176</v>
      </c>
      <c r="AL93" s="13">
        <f t="shared" si="16"/>
        <v>248943</v>
      </c>
      <c r="AM93" s="17"/>
      <c r="AN93" s="18">
        <f>230000</f>
        <v>230000</v>
      </c>
      <c r="AO93" s="18">
        <f t="shared" si="17"/>
        <v>0</v>
      </c>
      <c r="AP93" s="18"/>
    </row>
    <row r="94" spans="1:42" ht="15.75" customHeight="1" x14ac:dyDescent="0.3">
      <c r="A94" s="7"/>
      <c r="B94" s="7"/>
      <c r="C94" s="7" t="str">
        <f t="shared" si="0"/>
        <v>VBFV60RR14</v>
      </c>
      <c r="D94" s="7" t="s">
        <v>37</v>
      </c>
      <c r="E94" s="7"/>
      <c r="F94" s="8">
        <v>350</v>
      </c>
      <c r="G94" s="9" t="s">
        <v>57</v>
      </c>
      <c r="H94" s="7" t="str">
        <f>VLOOKUP(G94,'[1]Price Components'!B:C,2,0)</f>
        <v>Manipur</v>
      </c>
      <c r="I94" s="7" t="str">
        <f>VLOOKUP(G94,'[1]Price Components'!B:D,3,0)</f>
        <v>BASIC</v>
      </c>
      <c r="J94" s="10">
        <f t="shared" si="1"/>
        <v>4.2498184301525188E-2</v>
      </c>
      <c r="K94" s="11">
        <v>144158</v>
      </c>
      <c r="L94" s="12">
        <f t="shared" si="2"/>
        <v>-2354.5300052162493</v>
      </c>
      <c r="M94" s="11">
        <v>141803.46999478375</v>
      </c>
      <c r="N94" s="8">
        <v>1279</v>
      </c>
      <c r="O94" s="13">
        <f>VLOOKUP(G94,'[1]Price Components'!B:E,4,0)</f>
        <v>1060</v>
      </c>
      <c r="P94" s="13">
        <f t="shared" si="3"/>
        <v>144142</v>
      </c>
      <c r="Q94" s="14">
        <f>ROUND(IF(F94&lt;500,VLOOKUP(G94,'[1]Price Components'!B:G,5,0),VLOOKUP(G94,'[1]Price Components'!B:G,6,0)),2)</f>
        <v>3584</v>
      </c>
      <c r="R94" s="11">
        <f t="shared" si="4"/>
        <v>7841</v>
      </c>
      <c r="S94" s="13">
        <v>0</v>
      </c>
      <c r="T94" s="11">
        <f t="shared" si="5"/>
        <v>7841</v>
      </c>
      <c r="U94" s="11">
        <v>292</v>
      </c>
      <c r="V94" s="13">
        <f t="shared" si="6"/>
        <v>8133</v>
      </c>
      <c r="W94" s="13">
        <f t="shared" si="7"/>
        <v>184502</v>
      </c>
      <c r="X94" s="13">
        <f t="shared" si="8"/>
        <v>155859</v>
      </c>
      <c r="Y94" s="13">
        <f t="shared" si="9"/>
        <v>43641</v>
      </c>
      <c r="Z94" s="11">
        <v>0</v>
      </c>
      <c r="AA94" s="13">
        <f t="shared" ref="AA94:AA105" si="35">ROUND(X94+Y94+Z94,0)</f>
        <v>199500</v>
      </c>
      <c r="AB94" s="13" t="str">
        <f t="shared" si="11"/>
        <v>B</v>
      </c>
      <c r="AC94" s="15">
        <f>IF(AB94="A",VLOOKUP($G94,'[1]Price Components'!$B:$AC,7,0),IF(AB94="B",VLOOKUP($G94,'[1]Price Components'!$B:$AC,8,0),IF(AB94="C",VLOOKUP($G94,'[1]Price Components'!$B:$AC,9,0),IF(AB94="E",15%,IF(AB94="D",VLOOKUP($G94,'[1]Price Components'!$B:$AC,10,0))))))</f>
        <v>0.04</v>
      </c>
      <c r="AD94" s="13">
        <f>ROUND(IF(AC94=0,VLOOKUP($G94,'[1]Price Components'!$B:$AC,11,0),IF(I94="BASIC",X94*AC94,AA94*AC94)),0)</f>
        <v>6234</v>
      </c>
      <c r="AE94" s="13">
        <f>ROUND(VLOOKUP($G94,'[1]Price Components'!$B:$AC,12,0),0)</f>
        <v>580</v>
      </c>
      <c r="AF94" s="16">
        <f>VLOOKUP($G94,'[1]Price Components'!$B:$AC,14,0)</f>
        <v>7.92E-3</v>
      </c>
      <c r="AG94" s="16">
        <f>VLOOKUP($G94,'[1]Price Components'!$B:$AC,15,0)</f>
        <v>8.2979999999999998E-3</v>
      </c>
      <c r="AH94" s="13">
        <f t="shared" si="12"/>
        <v>1501</v>
      </c>
      <c r="AI94" s="13">
        <f t="shared" si="13"/>
        <v>7740</v>
      </c>
      <c r="AJ94" s="13">
        <f t="shared" si="14"/>
        <v>1663</v>
      </c>
      <c r="AK94" s="13">
        <f t="shared" si="15"/>
        <v>10904</v>
      </c>
      <c r="AL94" s="13">
        <f t="shared" si="16"/>
        <v>217218</v>
      </c>
      <c r="AM94" s="17"/>
      <c r="AN94" s="18">
        <v>199500</v>
      </c>
      <c r="AO94" s="18">
        <f t="shared" si="17"/>
        <v>0</v>
      </c>
      <c r="AP94" s="18"/>
    </row>
    <row r="95" spans="1:42" ht="15.75" customHeight="1" x14ac:dyDescent="0.3">
      <c r="A95" s="7"/>
      <c r="B95" s="7"/>
      <c r="C95" s="7" t="str">
        <f t="shared" si="0"/>
        <v>VBFV60EB14</v>
      </c>
      <c r="D95" s="7" t="s">
        <v>39</v>
      </c>
      <c r="E95" s="7"/>
      <c r="F95" s="8">
        <v>350</v>
      </c>
      <c r="G95" s="9" t="s">
        <v>57</v>
      </c>
      <c r="H95" s="7" t="str">
        <f>VLOOKUP(G95,'[1]Price Components'!B:C,2,0)</f>
        <v>Manipur</v>
      </c>
      <c r="I95" s="7" t="str">
        <f>VLOOKUP(G95,'[1]Price Components'!B:D,3,0)</f>
        <v>BASIC</v>
      </c>
      <c r="J95" s="10">
        <f t="shared" si="1"/>
        <v>4.2498184301525188E-2</v>
      </c>
      <c r="K95" s="11">
        <v>144158</v>
      </c>
      <c r="L95" s="12">
        <f t="shared" si="2"/>
        <v>-2354.5300052162493</v>
      </c>
      <c r="M95" s="11">
        <v>141803.46999478375</v>
      </c>
      <c r="N95" s="8">
        <v>1279</v>
      </c>
      <c r="O95" s="13">
        <f>VLOOKUP(G95,'[1]Price Components'!B:E,4,0)</f>
        <v>1060</v>
      </c>
      <c r="P95" s="13">
        <f t="shared" si="3"/>
        <v>144142</v>
      </c>
      <c r="Q95" s="14">
        <f>ROUND(IF(F95&lt;500,VLOOKUP(G95,'[1]Price Components'!B:G,5,0),VLOOKUP(G95,'[1]Price Components'!B:G,6,0)),2)</f>
        <v>3584</v>
      </c>
      <c r="R95" s="11">
        <f t="shared" si="4"/>
        <v>7841</v>
      </c>
      <c r="S95" s="13">
        <v>0</v>
      </c>
      <c r="T95" s="11">
        <f t="shared" si="5"/>
        <v>7841</v>
      </c>
      <c r="U95" s="11">
        <v>292</v>
      </c>
      <c r="V95" s="13">
        <f t="shared" si="6"/>
        <v>8133</v>
      </c>
      <c r="W95" s="13">
        <f t="shared" si="7"/>
        <v>184502</v>
      </c>
      <c r="X95" s="13">
        <f t="shared" si="8"/>
        <v>155859</v>
      </c>
      <c r="Y95" s="13">
        <f t="shared" si="9"/>
        <v>43641</v>
      </c>
      <c r="Z95" s="11">
        <v>0</v>
      </c>
      <c r="AA95" s="13">
        <f t="shared" si="35"/>
        <v>199500</v>
      </c>
      <c r="AB95" s="13" t="str">
        <f t="shared" si="11"/>
        <v>B</v>
      </c>
      <c r="AC95" s="15">
        <f>IF(AB95="A",VLOOKUP($G95,'[1]Price Components'!$B:$AC,7,0),IF(AB95="B",VLOOKUP($G95,'[1]Price Components'!$B:$AC,8,0),IF(AB95="C",VLOOKUP($G95,'[1]Price Components'!$B:$AC,9,0),IF(AB95="E",15%,IF(AB95="D",VLOOKUP($G95,'[1]Price Components'!$B:$AC,10,0))))))</f>
        <v>0.04</v>
      </c>
      <c r="AD95" s="13">
        <f>ROUND(IF(AC95=0,VLOOKUP($G95,'[1]Price Components'!$B:$AC,11,0),IF(I95="BASIC",X95*AC95,AA95*AC95)),0)</f>
        <v>6234</v>
      </c>
      <c r="AE95" s="13">
        <f>ROUND(VLOOKUP($G95,'[1]Price Components'!$B:$AC,12,0),0)</f>
        <v>580</v>
      </c>
      <c r="AF95" s="16">
        <f>VLOOKUP($G95,'[1]Price Components'!$B:$AC,14,0)</f>
        <v>7.92E-3</v>
      </c>
      <c r="AG95" s="16">
        <f>VLOOKUP($G95,'[1]Price Components'!$B:$AC,15,0)</f>
        <v>8.2979999999999998E-3</v>
      </c>
      <c r="AH95" s="13">
        <f t="shared" si="12"/>
        <v>1501</v>
      </c>
      <c r="AI95" s="13">
        <f t="shared" si="13"/>
        <v>7740</v>
      </c>
      <c r="AJ95" s="13">
        <f t="shared" si="14"/>
        <v>1663</v>
      </c>
      <c r="AK95" s="13">
        <f t="shared" si="15"/>
        <v>10904</v>
      </c>
      <c r="AL95" s="13">
        <f t="shared" si="16"/>
        <v>217218</v>
      </c>
      <c r="AM95" s="17"/>
      <c r="AN95" s="18">
        <v>199500</v>
      </c>
      <c r="AO95" s="18">
        <f t="shared" si="17"/>
        <v>0</v>
      </c>
      <c r="AP95" s="18"/>
    </row>
    <row r="96" spans="1:42" ht="15.75" customHeight="1" x14ac:dyDescent="0.3">
      <c r="A96" s="7"/>
      <c r="B96" s="7"/>
      <c r="C96" s="7" t="str">
        <f t="shared" si="0"/>
        <v>VBFV60HG14</v>
      </c>
      <c r="D96" s="7" t="s">
        <v>40</v>
      </c>
      <c r="E96" s="7"/>
      <c r="F96" s="8">
        <v>350</v>
      </c>
      <c r="G96" s="9" t="s">
        <v>57</v>
      </c>
      <c r="H96" s="7" t="str">
        <f>VLOOKUP(G96,'[1]Price Components'!B:C,2,0)</f>
        <v>Manipur</v>
      </c>
      <c r="I96" s="7" t="str">
        <f>VLOOKUP(G96,'[1]Price Components'!B:D,3,0)</f>
        <v>BASIC</v>
      </c>
      <c r="J96" s="10">
        <f t="shared" si="1"/>
        <v>4.2501681949896432E-2</v>
      </c>
      <c r="K96" s="11">
        <v>147492</v>
      </c>
      <c r="L96" s="12">
        <f t="shared" si="2"/>
        <v>-2355.425005025143</v>
      </c>
      <c r="M96" s="11">
        <v>145136.57499497486</v>
      </c>
      <c r="N96" s="8">
        <v>1279</v>
      </c>
      <c r="O96" s="13">
        <f>VLOOKUP(G96,'[1]Price Components'!B:E,4,0)</f>
        <v>1060</v>
      </c>
      <c r="P96" s="13">
        <f t="shared" si="3"/>
        <v>147476</v>
      </c>
      <c r="Q96" s="14">
        <f>ROUND(IF(F96&lt;500,VLOOKUP(G96,'[1]Price Components'!B:G,5,0),VLOOKUP(G96,'[1]Price Components'!B:G,6,0)),2)</f>
        <v>3584</v>
      </c>
      <c r="R96" s="11">
        <f t="shared" si="4"/>
        <v>8023</v>
      </c>
      <c r="S96" s="13">
        <v>0</v>
      </c>
      <c r="T96" s="11">
        <f t="shared" si="5"/>
        <v>8023</v>
      </c>
      <c r="U96" s="11">
        <v>292</v>
      </c>
      <c r="V96" s="13">
        <f t="shared" si="6"/>
        <v>8315</v>
      </c>
      <c r="W96" s="13">
        <f t="shared" si="7"/>
        <v>188769</v>
      </c>
      <c r="X96" s="13">
        <f t="shared" si="8"/>
        <v>159375</v>
      </c>
      <c r="Y96" s="13">
        <f t="shared" si="9"/>
        <v>44625</v>
      </c>
      <c r="Z96" s="11">
        <v>0</v>
      </c>
      <c r="AA96" s="13">
        <f t="shared" si="35"/>
        <v>204000</v>
      </c>
      <c r="AB96" s="13" t="str">
        <f t="shared" si="11"/>
        <v>C</v>
      </c>
      <c r="AC96" s="15">
        <f>IF(AB96="A",VLOOKUP($G96,'[1]Price Components'!$B:$AC,7,0),IF(AB96="B",VLOOKUP($G96,'[1]Price Components'!$B:$AC,8,0),IF(AB96="C",VLOOKUP($G96,'[1]Price Components'!$B:$AC,9,0),IF(AB96="E",15%,IF(AB96="D",VLOOKUP($G96,'[1]Price Components'!$B:$AC,10,0))))))</f>
        <v>0.04</v>
      </c>
      <c r="AD96" s="13">
        <f>ROUND(IF(AC96=0,VLOOKUP($G96,'[1]Price Components'!$B:$AC,11,0),IF(I96="BASIC",X96*AC96,AA96*AC96)),0)</f>
        <v>6375</v>
      </c>
      <c r="AE96" s="13">
        <f>ROUND(VLOOKUP($G96,'[1]Price Components'!$B:$AC,12,0),0)</f>
        <v>580</v>
      </c>
      <c r="AF96" s="16">
        <f>VLOOKUP($G96,'[1]Price Components'!$B:$AC,14,0)</f>
        <v>7.92E-3</v>
      </c>
      <c r="AG96" s="16">
        <f>VLOOKUP($G96,'[1]Price Components'!$B:$AC,15,0)</f>
        <v>8.2979999999999998E-3</v>
      </c>
      <c r="AH96" s="13">
        <f t="shared" si="12"/>
        <v>1535</v>
      </c>
      <c r="AI96" s="13">
        <f t="shared" si="13"/>
        <v>7740</v>
      </c>
      <c r="AJ96" s="13">
        <f t="shared" si="14"/>
        <v>1670</v>
      </c>
      <c r="AK96" s="13">
        <f t="shared" si="15"/>
        <v>10945</v>
      </c>
      <c r="AL96" s="13">
        <f t="shared" si="16"/>
        <v>221900</v>
      </c>
      <c r="AM96" s="17"/>
      <c r="AN96" s="18">
        <v>204000</v>
      </c>
      <c r="AO96" s="18">
        <f t="shared" si="17"/>
        <v>0</v>
      </c>
      <c r="AP96" s="18"/>
    </row>
    <row r="97" spans="1:42" ht="15.75" customHeight="1" x14ac:dyDescent="0.3">
      <c r="A97" s="7"/>
      <c r="B97" s="7"/>
      <c r="C97" s="7" t="str">
        <f t="shared" si="0"/>
        <v>VBFV60SE14</v>
      </c>
      <c r="D97" s="7" t="s">
        <v>41</v>
      </c>
      <c r="E97" s="7"/>
      <c r="F97" s="8">
        <v>350</v>
      </c>
      <c r="G97" s="9" t="s">
        <v>57</v>
      </c>
      <c r="H97" s="7" t="str">
        <f>VLOOKUP(G97,'[1]Price Components'!B:C,2,0)</f>
        <v>Manipur</v>
      </c>
      <c r="I97" s="7" t="str">
        <f>VLOOKUP(G97,'[1]Price Components'!B:D,3,0)</f>
        <v>BASIC</v>
      </c>
      <c r="J97" s="10">
        <f t="shared" si="1"/>
        <v>4.2497914074873473E-2</v>
      </c>
      <c r="K97" s="11">
        <v>156384</v>
      </c>
      <c r="L97" s="12">
        <f t="shared" si="2"/>
        <v>-2354.6454545454471</v>
      </c>
      <c r="M97" s="11">
        <v>154029.35454545455</v>
      </c>
      <c r="N97" s="8">
        <v>1279</v>
      </c>
      <c r="O97" s="13">
        <f>VLOOKUP(G97,'[1]Price Components'!B:E,4,0)</f>
        <v>1060</v>
      </c>
      <c r="P97" s="13">
        <f t="shared" si="3"/>
        <v>156368</v>
      </c>
      <c r="Q97" s="14">
        <f>ROUND(IF(F97&lt;500,VLOOKUP(G97,'[1]Price Components'!B:G,5,0),VLOOKUP(G97,'[1]Price Components'!B:G,6,0)),2)</f>
        <v>3584</v>
      </c>
      <c r="R97" s="11">
        <f t="shared" si="4"/>
        <v>8506</v>
      </c>
      <c r="S97" s="13">
        <v>0</v>
      </c>
      <c r="T97" s="11">
        <f t="shared" si="5"/>
        <v>8506</v>
      </c>
      <c r="U97" s="11">
        <v>292</v>
      </c>
      <c r="V97" s="13">
        <f t="shared" si="6"/>
        <v>8798</v>
      </c>
      <c r="W97" s="13">
        <f t="shared" si="7"/>
        <v>200151</v>
      </c>
      <c r="X97" s="13">
        <f t="shared" si="8"/>
        <v>168750</v>
      </c>
      <c r="Y97" s="13">
        <f t="shared" si="9"/>
        <v>47250</v>
      </c>
      <c r="Z97" s="11">
        <v>0</v>
      </c>
      <c r="AA97" s="13">
        <f t="shared" si="35"/>
        <v>216000</v>
      </c>
      <c r="AB97" s="13" t="str">
        <f t="shared" si="11"/>
        <v>C</v>
      </c>
      <c r="AC97" s="15">
        <f>IF(AB97="A",VLOOKUP($G97,'[1]Price Components'!$B:$AC,7,0),IF(AB97="B",VLOOKUP($G97,'[1]Price Components'!$B:$AC,8,0),IF(AB97="C",VLOOKUP($G97,'[1]Price Components'!$B:$AC,9,0),IF(AB97="E",15%,IF(AB97="D",VLOOKUP($G97,'[1]Price Components'!$B:$AC,10,0))))))</f>
        <v>0.04</v>
      </c>
      <c r="AD97" s="13">
        <f>ROUND(IF(AC97=0,VLOOKUP($G97,'[1]Price Components'!$B:$AC,11,0),IF(I97="BASIC",X97*AC97,AA97*AC97)),0)</f>
        <v>6750</v>
      </c>
      <c r="AE97" s="13">
        <f>ROUND(VLOOKUP($G97,'[1]Price Components'!$B:$AC,12,0),0)</f>
        <v>580</v>
      </c>
      <c r="AF97" s="16">
        <f>VLOOKUP($G97,'[1]Price Components'!$B:$AC,14,0)</f>
        <v>7.92E-3</v>
      </c>
      <c r="AG97" s="16">
        <f>VLOOKUP($G97,'[1]Price Components'!$B:$AC,15,0)</f>
        <v>8.2979999999999998E-3</v>
      </c>
      <c r="AH97" s="13">
        <f t="shared" si="12"/>
        <v>1625</v>
      </c>
      <c r="AI97" s="13">
        <f t="shared" si="13"/>
        <v>7740</v>
      </c>
      <c r="AJ97" s="13">
        <f t="shared" si="14"/>
        <v>1686</v>
      </c>
      <c r="AK97" s="13">
        <f t="shared" si="15"/>
        <v>11051</v>
      </c>
      <c r="AL97" s="13">
        <f t="shared" si="16"/>
        <v>234381</v>
      </c>
      <c r="AM97" s="17"/>
      <c r="AN97" s="18">
        <v>216000</v>
      </c>
      <c r="AO97" s="18">
        <f t="shared" si="17"/>
        <v>0</v>
      </c>
      <c r="AP97" s="18"/>
    </row>
    <row r="98" spans="1:42" ht="15.75" customHeight="1" x14ac:dyDescent="0.3">
      <c r="A98" s="7"/>
      <c r="B98" s="7"/>
      <c r="C98" s="7" t="str">
        <f t="shared" si="0"/>
        <v>VBFV60GM14</v>
      </c>
      <c r="D98" s="7" t="s">
        <v>42</v>
      </c>
      <c r="E98" s="7"/>
      <c r="F98" s="8">
        <v>350</v>
      </c>
      <c r="G98" s="9" t="s">
        <v>57</v>
      </c>
      <c r="H98" s="7" t="str">
        <f>VLOOKUP(G98,'[1]Price Components'!B:C,2,0)</f>
        <v>Manipur</v>
      </c>
      <c r="I98" s="7" t="str">
        <f>VLOOKUP(G98,'[1]Price Components'!B:D,3,0)</f>
        <v>BASIC</v>
      </c>
      <c r="J98" s="10">
        <f t="shared" si="1"/>
        <v>4.2499257257314821E-2</v>
      </c>
      <c r="K98" s="11">
        <v>163052</v>
      </c>
      <c r="L98" s="12">
        <f t="shared" si="2"/>
        <v>-2355.3602545454341</v>
      </c>
      <c r="M98" s="11">
        <v>160696.63974545457</v>
      </c>
      <c r="N98" s="8">
        <v>1279</v>
      </c>
      <c r="O98" s="13">
        <f>VLOOKUP(G98,'[1]Price Components'!B:E,4,0)</f>
        <v>1060</v>
      </c>
      <c r="P98" s="13">
        <f t="shared" si="3"/>
        <v>163036</v>
      </c>
      <c r="Q98" s="14">
        <f>ROUND(IF(F98&lt;500,VLOOKUP(G98,'[1]Price Components'!B:G,5,0),VLOOKUP(G98,'[1]Price Components'!B:G,6,0)),2)</f>
        <v>3584</v>
      </c>
      <c r="R98" s="11">
        <f t="shared" si="4"/>
        <v>8869</v>
      </c>
      <c r="S98" s="13">
        <v>0</v>
      </c>
      <c r="T98" s="11">
        <f t="shared" si="5"/>
        <v>8869</v>
      </c>
      <c r="U98" s="11">
        <v>292</v>
      </c>
      <c r="V98" s="13">
        <f t="shared" si="6"/>
        <v>9161</v>
      </c>
      <c r="W98" s="13">
        <f t="shared" si="7"/>
        <v>208686</v>
      </c>
      <c r="X98" s="13">
        <f t="shared" si="8"/>
        <v>175781</v>
      </c>
      <c r="Y98" s="13">
        <f t="shared" si="9"/>
        <v>49219</v>
      </c>
      <c r="Z98" s="11">
        <v>0</v>
      </c>
      <c r="AA98" s="13">
        <f t="shared" si="35"/>
        <v>225000</v>
      </c>
      <c r="AB98" s="13" t="str">
        <f t="shared" si="11"/>
        <v>C</v>
      </c>
      <c r="AC98" s="15">
        <f>IF(AB98="A",VLOOKUP($G98,'[1]Price Components'!$B:$AC,7,0),IF(AB98="B",VLOOKUP($G98,'[1]Price Components'!$B:$AC,8,0),IF(AB98="C",VLOOKUP($G98,'[1]Price Components'!$B:$AC,9,0),IF(AB98="E",15%,IF(AB98="D",VLOOKUP($G98,'[1]Price Components'!$B:$AC,10,0))))))</f>
        <v>0.04</v>
      </c>
      <c r="AD98" s="13">
        <f>ROUND(IF(AC98=0,VLOOKUP($G98,'[1]Price Components'!$B:$AC,11,0),IF(I98="BASIC",X98*AC98,AA98*AC98)),0)</f>
        <v>7031</v>
      </c>
      <c r="AE98" s="13">
        <f>ROUND(VLOOKUP($G98,'[1]Price Components'!$B:$AC,12,0),0)</f>
        <v>580</v>
      </c>
      <c r="AF98" s="16">
        <f>VLOOKUP($G98,'[1]Price Components'!$B:$AC,14,0)</f>
        <v>7.92E-3</v>
      </c>
      <c r="AG98" s="16">
        <f>VLOOKUP($G98,'[1]Price Components'!$B:$AC,15,0)</f>
        <v>8.2979999999999998E-3</v>
      </c>
      <c r="AH98" s="13">
        <f t="shared" si="12"/>
        <v>1693</v>
      </c>
      <c r="AI98" s="13">
        <f t="shared" si="13"/>
        <v>7740</v>
      </c>
      <c r="AJ98" s="13">
        <f t="shared" si="14"/>
        <v>1698</v>
      </c>
      <c r="AK98" s="13">
        <f t="shared" si="15"/>
        <v>11131</v>
      </c>
      <c r="AL98" s="13">
        <f t="shared" si="16"/>
        <v>243742</v>
      </c>
      <c r="AM98" s="17"/>
      <c r="AN98" s="18">
        <v>225000</v>
      </c>
      <c r="AO98" s="18">
        <f t="shared" si="17"/>
        <v>0</v>
      </c>
      <c r="AP98" s="18"/>
    </row>
    <row r="99" spans="1:42" ht="15.75" customHeight="1" x14ac:dyDescent="0.3">
      <c r="A99" s="7"/>
      <c r="B99" s="7"/>
      <c r="C99" s="7" t="str">
        <f t="shared" si="0"/>
        <v>VBFV60SB14</v>
      </c>
      <c r="D99" s="7" t="s">
        <v>43</v>
      </c>
      <c r="E99" s="7"/>
      <c r="F99" s="8">
        <v>350</v>
      </c>
      <c r="G99" s="9" t="s">
        <v>57</v>
      </c>
      <c r="H99" s="7" t="str">
        <f>VLOOKUP(G99,'[1]Price Components'!B:C,2,0)</f>
        <v>Manipur</v>
      </c>
      <c r="I99" s="7" t="str">
        <f>VLOOKUP(G99,'[1]Price Components'!B:D,3,0)</f>
        <v>BASIC</v>
      </c>
      <c r="J99" s="10">
        <f t="shared" si="1"/>
        <v>4.2499257257314821E-2</v>
      </c>
      <c r="K99" s="11">
        <v>163052</v>
      </c>
      <c r="L99" s="12">
        <f t="shared" si="2"/>
        <v>-2355.3602545454341</v>
      </c>
      <c r="M99" s="11">
        <v>160696.63974545457</v>
      </c>
      <c r="N99" s="8">
        <v>1279</v>
      </c>
      <c r="O99" s="13">
        <f>VLOOKUP(G99,'[1]Price Components'!B:E,4,0)</f>
        <v>1060</v>
      </c>
      <c r="P99" s="13">
        <f t="shared" si="3"/>
        <v>163036</v>
      </c>
      <c r="Q99" s="14">
        <f>ROUND(IF(F99&lt;500,VLOOKUP(G99,'[1]Price Components'!B:G,5,0),VLOOKUP(G99,'[1]Price Components'!B:G,6,0)),2)</f>
        <v>3584</v>
      </c>
      <c r="R99" s="11">
        <f t="shared" si="4"/>
        <v>8869</v>
      </c>
      <c r="S99" s="13">
        <v>0</v>
      </c>
      <c r="T99" s="11">
        <f t="shared" si="5"/>
        <v>8869</v>
      </c>
      <c r="U99" s="11">
        <v>292</v>
      </c>
      <c r="V99" s="13">
        <f t="shared" si="6"/>
        <v>9161</v>
      </c>
      <c r="W99" s="13">
        <f t="shared" si="7"/>
        <v>208686</v>
      </c>
      <c r="X99" s="13">
        <f t="shared" si="8"/>
        <v>175781</v>
      </c>
      <c r="Y99" s="13">
        <f t="shared" si="9"/>
        <v>49219</v>
      </c>
      <c r="Z99" s="11">
        <v>0</v>
      </c>
      <c r="AA99" s="13">
        <f t="shared" si="35"/>
        <v>225000</v>
      </c>
      <c r="AB99" s="13" t="str">
        <f t="shared" si="11"/>
        <v>C</v>
      </c>
      <c r="AC99" s="15">
        <f>IF(AB99="A",VLOOKUP($G99,'[1]Price Components'!$B:$AC,7,0),IF(AB99="B",VLOOKUP($G99,'[1]Price Components'!$B:$AC,8,0),IF(AB99="C",VLOOKUP($G99,'[1]Price Components'!$B:$AC,9,0),IF(AB99="E",15%,IF(AB99="D",VLOOKUP($G99,'[1]Price Components'!$B:$AC,10,0))))))</f>
        <v>0.04</v>
      </c>
      <c r="AD99" s="13">
        <f>ROUND(IF(AC99=0,VLOOKUP($G99,'[1]Price Components'!$B:$AC,11,0),IF(I99="BASIC",X99*AC99,AA99*AC99)),0)</f>
        <v>7031</v>
      </c>
      <c r="AE99" s="13">
        <f>ROUND(VLOOKUP($G99,'[1]Price Components'!$B:$AC,12,0),0)</f>
        <v>580</v>
      </c>
      <c r="AF99" s="16">
        <f>VLOOKUP($G99,'[1]Price Components'!$B:$AC,14,0)</f>
        <v>7.92E-3</v>
      </c>
      <c r="AG99" s="16">
        <f>VLOOKUP($G99,'[1]Price Components'!$B:$AC,15,0)</f>
        <v>8.2979999999999998E-3</v>
      </c>
      <c r="AH99" s="13">
        <f t="shared" si="12"/>
        <v>1693</v>
      </c>
      <c r="AI99" s="13">
        <f t="shared" si="13"/>
        <v>7740</v>
      </c>
      <c r="AJ99" s="13">
        <f t="shared" si="14"/>
        <v>1698</v>
      </c>
      <c r="AK99" s="13">
        <f t="shared" si="15"/>
        <v>11131</v>
      </c>
      <c r="AL99" s="13">
        <f t="shared" si="16"/>
        <v>243742</v>
      </c>
      <c r="AM99" s="17"/>
      <c r="AN99" s="18">
        <v>225000</v>
      </c>
      <c r="AO99" s="18">
        <f t="shared" si="17"/>
        <v>0</v>
      </c>
      <c r="AP99" s="18"/>
    </row>
    <row r="100" spans="1:42" ht="15.75" customHeight="1" x14ac:dyDescent="0.3">
      <c r="A100" s="7"/>
      <c r="B100" s="7"/>
      <c r="C100" s="7" t="str">
        <f t="shared" si="0"/>
        <v>VBFV60RR15</v>
      </c>
      <c r="D100" s="7" t="s">
        <v>37</v>
      </c>
      <c r="E100" s="7"/>
      <c r="F100" s="8">
        <v>350</v>
      </c>
      <c r="G100" s="9" t="s">
        <v>58</v>
      </c>
      <c r="H100" s="7" t="str">
        <f>VLOOKUP(G100,'[1]Price Components'!B:C,2,0)</f>
        <v>Meghalaya</v>
      </c>
      <c r="I100" s="7" t="str">
        <f>VLOOKUP(G100,'[1]Price Components'!B:D,3,0)</f>
        <v>EX-SHOWROOM</v>
      </c>
      <c r="J100" s="10">
        <f t="shared" si="1"/>
        <v>4.2501109026675435E-2</v>
      </c>
      <c r="K100" s="11">
        <v>144158</v>
      </c>
      <c r="L100" s="12">
        <f t="shared" si="2"/>
        <v>-323.72438052890357</v>
      </c>
      <c r="M100" s="11">
        <v>143834.2756194711</v>
      </c>
      <c r="N100" s="8">
        <v>1279</v>
      </c>
      <c r="O100" s="13">
        <f>VLOOKUP(G100,'[1]Price Components'!B:E,4,0)</f>
        <v>1060</v>
      </c>
      <c r="P100" s="13">
        <f t="shared" si="3"/>
        <v>146173</v>
      </c>
      <c r="Q100" s="14">
        <f>ROUND(IF(F100&lt;500,VLOOKUP(G100,'[1]Price Components'!B:G,5,0),VLOOKUP(G100,'[1]Price Components'!B:G,6,0)),2)</f>
        <v>1442</v>
      </c>
      <c r="R100" s="11">
        <f t="shared" si="4"/>
        <v>7952</v>
      </c>
      <c r="S100" s="13">
        <v>0</v>
      </c>
      <c r="T100" s="11">
        <f t="shared" si="5"/>
        <v>7952</v>
      </c>
      <c r="U100" s="11">
        <v>292</v>
      </c>
      <c r="V100" s="13">
        <f t="shared" si="6"/>
        <v>8244</v>
      </c>
      <c r="W100" s="13">
        <f t="shared" si="7"/>
        <v>187101</v>
      </c>
      <c r="X100" s="13">
        <f t="shared" si="8"/>
        <v>155859</v>
      </c>
      <c r="Y100" s="13">
        <f t="shared" si="9"/>
        <v>43641</v>
      </c>
      <c r="Z100" s="11">
        <v>0</v>
      </c>
      <c r="AA100" s="13">
        <f t="shared" si="35"/>
        <v>199500</v>
      </c>
      <c r="AB100" s="13" t="str">
        <f t="shared" si="11"/>
        <v>B</v>
      </c>
      <c r="AC100" s="15">
        <f>IF(AB100="A",VLOOKUP($G100,'[1]Price Components'!$B:$AC,7,0),IF(AB100="B",VLOOKUP($G100,'[1]Price Components'!$B:$AC,8,0),IF(AB100="C",VLOOKUP($G100,'[1]Price Components'!$B:$AC,9,0),IF(AB100="E",15%,IF(AB100="D",VLOOKUP($G100,'[1]Price Components'!$B:$AC,10,0))))))</f>
        <v>0</v>
      </c>
      <c r="AD100" s="13">
        <f>ROUND(IF(AC100=0,VLOOKUP($G100,'[1]Price Components'!$B:$AC,11,0),IF(I100="BASIC",X100*AC100,AA100*AC100)),0)</f>
        <v>6050</v>
      </c>
      <c r="AE100" s="13">
        <f>ROUND(VLOOKUP($G100,'[1]Price Components'!$B:$AC,12,0),0)</f>
        <v>300</v>
      </c>
      <c r="AF100" s="16">
        <f>VLOOKUP($G100,'[1]Price Components'!$B:$AC,14,0)</f>
        <v>7.92E-3</v>
      </c>
      <c r="AG100" s="16">
        <f>VLOOKUP($G100,'[1]Price Components'!$B:$AC,15,0)</f>
        <v>8.2979999999999998E-3</v>
      </c>
      <c r="AH100" s="13">
        <f t="shared" si="12"/>
        <v>1501</v>
      </c>
      <c r="AI100" s="13">
        <f t="shared" si="13"/>
        <v>7740</v>
      </c>
      <c r="AJ100" s="13">
        <f t="shared" si="14"/>
        <v>1663</v>
      </c>
      <c r="AK100" s="13">
        <f t="shared" si="15"/>
        <v>10904</v>
      </c>
      <c r="AL100" s="13">
        <f t="shared" si="16"/>
        <v>216754</v>
      </c>
      <c r="AM100" s="17"/>
      <c r="AN100" s="18">
        <v>199500</v>
      </c>
      <c r="AO100" s="18">
        <f t="shared" si="17"/>
        <v>0</v>
      </c>
      <c r="AP100" s="18"/>
    </row>
    <row r="101" spans="1:42" ht="15.75" customHeight="1" x14ac:dyDescent="0.3">
      <c r="A101" s="7"/>
      <c r="B101" s="7"/>
      <c r="C101" s="7" t="str">
        <f t="shared" si="0"/>
        <v>VBFV60EB15</v>
      </c>
      <c r="D101" s="7" t="s">
        <v>39</v>
      </c>
      <c r="E101" s="7"/>
      <c r="F101" s="8">
        <v>350</v>
      </c>
      <c r="G101" s="9" t="s">
        <v>58</v>
      </c>
      <c r="H101" s="7" t="str">
        <f>VLOOKUP(G101,'[1]Price Components'!B:C,2,0)</f>
        <v>Meghalaya</v>
      </c>
      <c r="I101" s="7" t="str">
        <f>VLOOKUP(G101,'[1]Price Components'!B:D,3,0)</f>
        <v>EX-SHOWROOM</v>
      </c>
      <c r="J101" s="10">
        <f t="shared" si="1"/>
        <v>4.2501109026675435E-2</v>
      </c>
      <c r="K101" s="11">
        <v>144158</v>
      </c>
      <c r="L101" s="12">
        <f t="shared" si="2"/>
        <v>-323.72438052890357</v>
      </c>
      <c r="M101" s="11">
        <v>143834.2756194711</v>
      </c>
      <c r="N101" s="8">
        <v>1279</v>
      </c>
      <c r="O101" s="13">
        <f>VLOOKUP(G101,'[1]Price Components'!B:E,4,0)</f>
        <v>1060</v>
      </c>
      <c r="P101" s="13">
        <f t="shared" si="3"/>
        <v>146173</v>
      </c>
      <c r="Q101" s="14">
        <f>ROUND(IF(F101&lt;500,VLOOKUP(G101,'[1]Price Components'!B:G,5,0),VLOOKUP(G101,'[1]Price Components'!B:G,6,0)),2)</f>
        <v>1442</v>
      </c>
      <c r="R101" s="11">
        <f t="shared" si="4"/>
        <v>7952</v>
      </c>
      <c r="S101" s="13">
        <v>0</v>
      </c>
      <c r="T101" s="11">
        <f t="shared" si="5"/>
        <v>7952</v>
      </c>
      <c r="U101" s="11">
        <v>292</v>
      </c>
      <c r="V101" s="13">
        <f t="shared" si="6"/>
        <v>8244</v>
      </c>
      <c r="W101" s="13">
        <f t="shared" si="7"/>
        <v>187101</v>
      </c>
      <c r="X101" s="13">
        <f t="shared" si="8"/>
        <v>155859</v>
      </c>
      <c r="Y101" s="13">
        <f t="shared" si="9"/>
        <v>43641</v>
      </c>
      <c r="Z101" s="11">
        <v>0</v>
      </c>
      <c r="AA101" s="13">
        <f t="shared" si="35"/>
        <v>199500</v>
      </c>
      <c r="AB101" s="13" t="str">
        <f t="shared" si="11"/>
        <v>B</v>
      </c>
      <c r="AC101" s="15">
        <f>IF(AB101="A",VLOOKUP($G101,'[1]Price Components'!$B:$AC,7,0),IF(AB101="B",VLOOKUP($G101,'[1]Price Components'!$B:$AC,8,0),IF(AB101="C",VLOOKUP($G101,'[1]Price Components'!$B:$AC,9,0),IF(AB101="E",15%,IF(AB101="D",VLOOKUP($G101,'[1]Price Components'!$B:$AC,10,0))))))</f>
        <v>0</v>
      </c>
      <c r="AD101" s="13">
        <f>ROUND(IF(AC101=0,VLOOKUP($G101,'[1]Price Components'!$B:$AC,11,0),IF(I101="BASIC",X101*AC101,AA101*AC101)),0)</f>
        <v>6050</v>
      </c>
      <c r="AE101" s="13">
        <f>ROUND(VLOOKUP($G101,'[1]Price Components'!$B:$AC,12,0),0)</f>
        <v>300</v>
      </c>
      <c r="AF101" s="16">
        <f>VLOOKUP($G101,'[1]Price Components'!$B:$AC,14,0)</f>
        <v>7.92E-3</v>
      </c>
      <c r="AG101" s="16">
        <f>VLOOKUP($G101,'[1]Price Components'!$B:$AC,15,0)</f>
        <v>8.2979999999999998E-3</v>
      </c>
      <c r="AH101" s="13">
        <f t="shared" si="12"/>
        <v>1501</v>
      </c>
      <c r="AI101" s="13">
        <f t="shared" si="13"/>
        <v>7740</v>
      </c>
      <c r="AJ101" s="13">
        <f t="shared" si="14"/>
        <v>1663</v>
      </c>
      <c r="AK101" s="13">
        <f t="shared" si="15"/>
        <v>10904</v>
      </c>
      <c r="AL101" s="13">
        <f t="shared" si="16"/>
        <v>216754</v>
      </c>
      <c r="AM101" s="17"/>
      <c r="AN101" s="18">
        <v>199500</v>
      </c>
      <c r="AO101" s="18">
        <f t="shared" si="17"/>
        <v>0</v>
      </c>
      <c r="AP101" s="18"/>
    </row>
    <row r="102" spans="1:42" ht="15.75" customHeight="1" x14ac:dyDescent="0.3">
      <c r="A102" s="7"/>
      <c r="B102" s="7"/>
      <c r="C102" s="7" t="str">
        <f t="shared" si="0"/>
        <v>VBFV60HG15</v>
      </c>
      <c r="D102" s="7" t="s">
        <v>40</v>
      </c>
      <c r="E102" s="7"/>
      <c r="F102" s="8">
        <v>350</v>
      </c>
      <c r="G102" s="9" t="s">
        <v>58</v>
      </c>
      <c r="H102" s="7" t="str">
        <f>VLOOKUP(G102,'[1]Price Components'!B:C,2,0)</f>
        <v>Meghalaya</v>
      </c>
      <c r="I102" s="7" t="str">
        <f>VLOOKUP(G102,'[1]Price Components'!B:D,3,0)</f>
        <v>EX-SHOWROOM</v>
      </c>
      <c r="J102" s="10">
        <f t="shared" si="1"/>
        <v>4.2498824267126506E-2</v>
      </c>
      <c r="K102" s="11">
        <v>147492</v>
      </c>
      <c r="L102" s="12">
        <f t="shared" si="2"/>
        <v>-323.14830150755006</v>
      </c>
      <c r="M102" s="11">
        <v>147168.85169849245</v>
      </c>
      <c r="N102" s="8">
        <v>1279</v>
      </c>
      <c r="O102" s="13">
        <f>VLOOKUP(G102,'[1]Price Components'!B:E,4,0)</f>
        <v>1060</v>
      </c>
      <c r="P102" s="13">
        <f t="shared" si="3"/>
        <v>149508</v>
      </c>
      <c r="Q102" s="14">
        <f>ROUND(IF(F102&lt;500,VLOOKUP(G102,'[1]Price Components'!B:G,5,0),VLOOKUP(G102,'[1]Price Components'!B:G,6,0)),2)</f>
        <v>1442</v>
      </c>
      <c r="R102" s="11">
        <f t="shared" si="4"/>
        <v>8133</v>
      </c>
      <c r="S102" s="13">
        <v>0</v>
      </c>
      <c r="T102" s="11">
        <f t="shared" si="5"/>
        <v>8133</v>
      </c>
      <c r="U102" s="11">
        <v>292</v>
      </c>
      <c r="V102" s="13">
        <f t="shared" si="6"/>
        <v>8425</v>
      </c>
      <c r="W102" s="13">
        <f t="shared" si="7"/>
        <v>191370</v>
      </c>
      <c r="X102" s="13">
        <f t="shared" si="8"/>
        <v>159375</v>
      </c>
      <c r="Y102" s="13">
        <f t="shared" si="9"/>
        <v>44625</v>
      </c>
      <c r="Z102" s="11">
        <v>0</v>
      </c>
      <c r="AA102" s="13">
        <f t="shared" si="35"/>
        <v>204000</v>
      </c>
      <c r="AB102" s="13" t="str">
        <f t="shared" si="11"/>
        <v>C</v>
      </c>
      <c r="AC102" s="15">
        <f>IF(AB102="A",VLOOKUP($G102,'[1]Price Components'!$B:$AC,7,0),IF(AB102="B",VLOOKUP($G102,'[1]Price Components'!$B:$AC,8,0),IF(AB102="C",VLOOKUP($G102,'[1]Price Components'!$B:$AC,9,0),IF(AB102="E",15%,IF(AB102="D",VLOOKUP($G102,'[1]Price Components'!$B:$AC,10,0))))))</f>
        <v>3.3000000000000002E-2</v>
      </c>
      <c r="AD102" s="13">
        <f>ROUND(IF(AC102=0,VLOOKUP($G102,'[1]Price Components'!$B:$AC,11,0),IF(I102="BASIC",X102*AC102,AA102*AC102)),0)</f>
        <v>6732</v>
      </c>
      <c r="AE102" s="13">
        <f>ROUND(VLOOKUP($G102,'[1]Price Components'!$B:$AC,12,0),0)</f>
        <v>300</v>
      </c>
      <c r="AF102" s="16">
        <f>VLOOKUP($G102,'[1]Price Components'!$B:$AC,14,0)</f>
        <v>7.92E-3</v>
      </c>
      <c r="AG102" s="16">
        <f>VLOOKUP($G102,'[1]Price Components'!$B:$AC,15,0)</f>
        <v>8.2979999999999998E-3</v>
      </c>
      <c r="AH102" s="13">
        <f t="shared" si="12"/>
        <v>1535</v>
      </c>
      <c r="AI102" s="13">
        <f t="shared" si="13"/>
        <v>7740</v>
      </c>
      <c r="AJ102" s="13">
        <f t="shared" si="14"/>
        <v>1670</v>
      </c>
      <c r="AK102" s="13">
        <f t="shared" si="15"/>
        <v>10945</v>
      </c>
      <c r="AL102" s="13">
        <f t="shared" si="16"/>
        <v>221977</v>
      </c>
      <c r="AM102" s="17"/>
      <c r="AN102" s="18">
        <v>204000</v>
      </c>
      <c r="AO102" s="18">
        <f t="shared" si="17"/>
        <v>0</v>
      </c>
      <c r="AP102" s="18"/>
    </row>
    <row r="103" spans="1:42" ht="15.75" customHeight="1" x14ac:dyDescent="0.3">
      <c r="A103" s="7"/>
      <c r="B103" s="7"/>
      <c r="C103" s="7" t="str">
        <f t="shared" si="0"/>
        <v>VBFV60SE15</v>
      </c>
      <c r="D103" s="7" t="s">
        <v>41</v>
      </c>
      <c r="E103" s="7"/>
      <c r="F103" s="8">
        <v>350</v>
      </c>
      <c r="G103" s="9" t="s">
        <v>58</v>
      </c>
      <c r="H103" s="7" t="str">
        <f>VLOOKUP(G103,'[1]Price Components'!B:C,2,0)</f>
        <v>Meghalaya</v>
      </c>
      <c r="I103" s="7" t="str">
        <f>VLOOKUP(G103,'[1]Price Components'!B:D,3,0)</f>
        <v>EX-SHOWROOM</v>
      </c>
      <c r="J103" s="10">
        <f t="shared" si="1"/>
        <v>4.2500406903048564E-2</v>
      </c>
      <c r="K103" s="11">
        <v>156384</v>
      </c>
      <c r="L103" s="12">
        <f t="shared" si="2"/>
        <v>-324.31909090909176</v>
      </c>
      <c r="M103" s="11">
        <v>156059.68090909091</v>
      </c>
      <c r="N103" s="8">
        <v>1279</v>
      </c>
      <c r="O103" s="13">
        <f>VLOOKUP(G103,'[1]Price Components'!B:E,4,0)</f>
        <v>1060</v>
      </c>
      <c r="P103" s="13">
        <f t="shared" si="3"/>
        <v>158399</v>
      </c>
      <c r="Q103" s="14">
        <f>ROUND(IF(F103&lt;500,VLOOKUP(G103,'[1]Price Components'!B:G,5,0),VLOOKUP(G103,'[1]Price Components'!B:G,6,0)),2)</f>
        <v>1442</v>
      </c>
      <c r="R103" s="11">
        <f t="shared" si="4"/>
        <v>8617</v>
      </c>
      <c r="S103" s="13">
        <v>0</v>
      </c>
      <c r="T103" s="11">
        <f t="shared" si="5"/>
        <v>8617</v>
      </c>
      <c r="U103" s="11">
        <v>292</v>
      </c>
      <c r="V103" s="13">
        <f t="shared" si="6"/>
        <v>8909</v>
      </c>
      <c r="W103" s="13">
        <f t="shared" si="7"/>
        <v>202751</v>
      </c>
      <c r="X103" s="13">
        <f t="shared" si="8"/>
        <v>168750</v>
      </c>
      <c r="Y103" s="13">
        <f t="shared" si="9"/>
        <v>47250</v>
      </c>
      <c r="Z103" s="11">
        <v>0</v>
      </c>
      <c r="AA103" s="13">
        <f t="shared" si="35"/>
        <v>216000</v>
      </c>
      <c r="AB103" s="13" t="str">
        <f t="shared" si="11"/>
        <v>C</v>
      </c>
      <c r="AC103" s="15">
        <f>IF(AB103="A",VLOOKUP($G103,'[1]Price Components'!$B:$AC,7,0),IF(AB103="B",VLOOKUP($G103,'[1]Price Components'!$B:$AC,8,0),IF(AB103="C",VLOOKUP($G103,'[1]Price Components'!$B:$AC,9,0),IF(AB103="E",15%,IF(AB103="D",VLOOKUP($G103,'[1]Price Components'!$B:$AC,10,0))))))</f>
        <v>3.3000000000000002E-2</v>
      </c>
      <c r="AD103" s="13">
        <f>ROUND(IF(AC103=0,VLOOKUP($G103,'[1]Price Components'!$B:$AC,11,0),IF(I103="BASIC",X103*AC103,AA103*AC103)),0)</f>
        <v>7128</v>
      </c>
      <c r="AE103" s="13">
        <f>ROUND(VLOOKUP($G103,'[1]Price Components'!$B:$AC,12,0),0)</f>
        <v>300</v>
      </c>
      <c r="AF103" s="16">
        <f>VLOOKUP($G103,'[1]Price Components'!$B:$AC,14,0)</f>
        <v>7.92E-3</v>
      </c>
      <c r="AG103" s="16">
        <f>VLOOKUP($G103,'[1]Price Components'!$B:$AC,15,0)</f>
        <v>8.2979999999999998E-3</v>
      </c>
      <c r="AH103" s="13">
        <f t="shared" si="12"/>
        <v>1625</v>
      </c>
      <c r="AI103" s="13">
        <f t="shared" si="13"/>
        <v>7740</v>
      </c>
      <c r="AJ103" s="13">
        <f t="shared" si="14"/>
        <v>1686</v>
      </c>
      <c r="AK103" s="13">
        <f t="shared" si="15"/>
        <v>11051</v>
      </c>
      <c r="AL103" s="13">
        <f t="shared" si="16"/>
        <v>234479</v>
      </c>
      <c r="AM103" s="17"/>
      <c r="AN103" s="18">
        <v>216000</v>
      </c>
      <c r="AO103" s="18">
        <f t="shared" si="17"/>
        <v>0</v>
      </c>
      <c r="AP103" s="18"/>
    </row>
    <row r="104" spans="1:42" ht="15.75" customHeight="1" x14ac:dyDescent="0.3">
      <c r="A104" s="7"/>
      <c r="B104" s="7"/>
      <c r="C104" s="7" t="str">
        <f t="shared" si="0"/>
        <v>VBFV60GM15</v>
      </c>
      <c r="D104" s="7" t="s">
        <v>42</v>
      </c>
      <c r="E104" s="7"/>
      <c r="F104" s="8">
        <v>350</v>
      </c>
      <c r="G104" s="9" t="s">
        <v>58</v>
      </c>
      <c r="H104" s="7" t="str">
        <f>VLOOKUP(G104,'[1]Price Components'!B:C,2,0)</f>
        <v>Meghalaya</v>
      </c>
      <c r="I104" s="7" t="str">
        <f>VLOOKUP(G104,'[1]Price Components'!B:D,3,0)</f>
        <v>EX-SHOWROOM</v>
      </c>
      <c r="J104" s="10">
        <f t="shared" si="1"/>
        <v>4.2501632857832511E-2</v>
      </c>
      <c r="K104" s="11">
        <v>163052</v>
      </c>
      <c r="L104" s="12">
        <f t="shared" si="2"/>
        <v>-323.88014372391626</v>
      </c>
      <c r="M104" s="11">
        <v>162728.11985627608</v>
      </c>
      <c r="N104" s="8">
        <v>1279</v>
      </c>
      <c r="O104" s="13">
        <f>VLOOKUP(G104,'[1]Price Components'!B:E,4,0)</f>
        <v>1060</v>
      </c>
      <c r="P104" s="13">
        <f t="shared" si="3"/>
        <v>165067</v>
      </c>
      <c r="Q104" s="14">
        <f>ROUND(IF(F104&lt;500,VLOOKUP(G104,'[1]Price Components'!B:G,5,0),VLOOKUP(G104,'[1]Price Components'!B:G,6,0)),2)</f>
        <v>1442</v>
      </c>
      <c r="R104" s="11">
        <f t="shared" si="4"/>
        <v>8980</v>
      </c>
      <c r="S104" s="13">
        <v>0</v>
      </c>
      <c r="T104" s="11">
        <f t="shared" si="5"/>
        <v>8980</v>
      </c>
      <c r="U104" s="11">
        <v>292</v>
      </c>
      <c r="V104" s="13">
        <f t="shared" si="6"/>
        <v>9272</v>
      </c>
      <c r="W104" s="13">
        <f t="shared" si="7"/>
        <v>211286</v>
      </c>
      <c r="X104" s="13">
        <f t="shared" si="8"/>
        <v>175781</v>
      </c>
      <c r="Y104" s="13">
        <f t="shared" si="9"/>
        <v>49219</v>
      </c>
      <c r="Z104" s="11">
        <v>0</v>
      </c>
      <c r="AA104" s="13">
        <f t="shared" si="35"/>
        <v>225000</v>
      </c>
      <c r="AB104" s="13" t="str">
        <f t="shared" si="11"/>
        <v>C</v>
      </c>
      <c r="AC104" s="15">
        <f>IF(AB104="A",VLOOKUP($G104,'[1]Price Components'!$B:$AC,7,0),IF(AB104="B",VLOOKUP($G104,'[1]Price Components'!$B:$AC,8,0),IF(AB104="C",VLOOKUP($G104,'[1]Price Components'!$B:$AC,9,0),IF(AB104="E",15%,IF(AB104="D",VLOOKUP($G104,'[1]Price Components'!$B:$AC,10,0))))))</f>
        <v>3.3000000000000002E-2</v>
      </c>
      <c r="AD104" s="13">
        <f>ROUND(IF(AC104=0,VLOOKUP($G104,'[1]Price Components'!$B:$AC,11,0),IF(I104="BASIC",X104*AC104,AA104*AC104)),0)</f>
        <v>7425</v>
      </c>
      <c r="AE104" s="13">
        <f>ROUND(VLOOKUP($G104,'[1]Price Components'!$B:$AC,12,0),0)</f>
        <v>300</v>
      </c>
      <c r="AF104" s="16">
        <f>VLOOKUP($G104,'[1]Price Components'!$B:$AC,14,0)</f>
        <v>7.92E-3</v>
      </c>
      <c r="AG104" s="16">
        <f>VLOOKUP($G104,'[1]Price Components'!$B:$AC,15,0)</f>
        <v>8.2979999999999998E-3</v>
      </c>
      <c r="AH104" s="13">
        <f t="shared" si="12"/>
        <v>1693</v>
      </c>
      <c r="AI104" s="13">
        <f t="shared" si="13"/>
        <v>7740</v>
      </c>
      <c r="AJ104" s="13">
        <f t="shared" si="14"/>
        <v>1698</v>
      </c>
      <c r="AK104" s="13">
        <f t="shared" si="15"/>
        <v>11131</v>
      </c>
      <c r="AL104" s="13">
        <f t="shared" si="16"/>
        <v>243856</v>
      </c>
      <c r="AM104" s="17"/>
      <c r="AN104" s="18">
        <v>225000</v>
      </c>
      <c r="AO104" s="18">
        <f t="shared" si="17"/>
        <v>0</v>
      </c>
      <c r="AP104" s="18"/>
    </row>
    <row r="105" spans="1:42" ht="15.75" customHeight="1" x14ac:dyDescent="0.3">
      <c r="A105" s="7"/>
      <c r="B105" s="7"/>
      <c r="C105" s="7" t="str">
        <f t="shared" si="0"/>
        <v>VBFV60SB15</v>
      </c>
      <c r="D105" s="7" t="s">
        <v>43</v>
      </c>
      <c r="E105" s="7"/>
      <c r="F105" s="8">
        <v>350</v>
      </c>
      <c r="G105" s="9" t="s">
        <v>58</v>
      </c>
      <c r="H105" s="7" t="str">
        <f>VLOOKUP(G105,'[1]Price Components'!B:C,2,0)</f>
        <v>Meghalaya</v>
      </c>
      <c r="I105" s="7" t="str">
        <f>VLOOKUP(G105,'[1]Price Components'!B:D,3,0)</f>
        <v>EX-SHOWROOM</v>
      </c>
      <c r="J105" s="10">
        <f t="shared" si="1"/>
        <v>4.2501632857832511E-2</v>
      </c>
      <c r="K105" s="11">
        <v>163052</v>
      </c>
      <c r="L105" s="12">
        <f t="shared" si="2"/>
        <v>-323.88014372391626</v>
      </c>
      <c r="M105" s="11">
        <v>162728.11985627608</v>
      </c>
      <c r="N105" s="8">
        <v>1279</v>
      </c>
      <c r="O105" s="13">
        <f>VLOOKUP(G105,'[1]Price Components'!B:E,4,0)</f>
        <v>1060</v>
      </c>
      <c r="P105" s="13">
        <f t="shared" si="3"/>
        <v>165067</v>
      </c>
      <c r="Q105" s="14">
        <f>ROUND(IF(F105&lt;500,VLOOKUP(G105,'[1]Price Components'!B:G,5,0),VLOOKUP(G105,'[1]Price Components'!B:G,6,0)),2)</f>
        <v>1442</v>
      </c>
      <c r="R105" s="11">
        <f t="shared" si="4"/>
        <v>8980</v>
      </c>
      <c r="S105" s="13">
        <v>0</v>
      </c>
      <c r="T105" s="11">
        <f t="shared" si="5"/>
        <v>8980</v>
      </c>
      <c r="U105" s="11">
        <v>292</v>
      </c>
      <c r="V105" s="13">
        <f t="shared" si="6"/>
        <v>9272</v>
      </c>
      <c r="W105" s="13">
        <f t="shared" si="7"/>
        <v>211286</v>
      </c>
      <c r="X105" s="13">
        <f t="shared" si="8"/>
        <v>175781</v>
      </c>
      <c r="Y105" s="13">
        <f t="shared" si="9"/>
        <v>49219</v>
      </c>
      <c r="Z105" s="11">
        <v>0</v>
      </c>
      <c r="AA105" s="13">
        <f t="shared" si="35"/>
        <v>225000</v>
      </c>
      <c r="AB105" s="13" t="str">
        <f t="shared" si="11"/>
        <v>C</v>
      </c>
      <c r="AC105" s="15">
        <f>IF(AB105="A",VLOOKUP($G105,'[1]Price Components'!$B:$AC,7,0),IF(AB105="B",VLOOKUP($G105,'[1]Price Components'!$B:$AC,8,0),IF(AB105="C",VLOOKUP($G105,'[1]Price Components'!$B:$AC,9,0),IF(AB105="E",15%,IF(AB105="D",VLOOKUP($G105,'[1]Price Components'!$B:$AC,10,0))))))</f>
        <v>3.3000000000000002E-2</v>
      </c>
      <c r="AD105" s="13">
        <f>ROUND(IF(AC105=0,VLOOKUP($G105,'[1]Price Components'!$B:$AC,11,0),IF(I105="BASIC",X105*AC105,AA105*AC105)),0)</f>
        <v>7425</v>
      </c>
      <c r="AE105" s="13">
        <f>ROUND(VLOOKUP($G105,'[1]Price Components'!$B:$AC,12,0),0)</f>
        <v>300</v>
      </c>
      <c r="AF105" s="16">
        <f>VLOOKUP($G105,'[1]Price Components'!$B:$AC,14,0)</f>
        <v>7.92E-3</v>
      </c>
      <c r="AG105" s="16">
        <f>VLOOKUP($G105,'[1]Price Components'!$B:$AC,15,0)</f>
        <v>8.2979999999999998E-3</v>
      </c>
      <c r="AH105" s="13">
        <f t="shared" si="12"/>
        <v>1693</v>
      </c>
      <c r="AI105" s="13">
        <f t="shared" si="13"/>
        <v>7740</v>
      </c>
      <c r="AJ105" s="13">
        <f t="shared" si="14"/>
        <v>1698</v>
      </c>
      <c r="AK105" s="13">
        <f t="shared" si="15"/>
        <v>11131</v>
      </c>
      <c r="AL105" s="13">
        <f t="shared" si="16"/>
        <v>243856</v>
      </c>
      <c r="AM105" s="17"/>
      <c r="AN105" s="18">
        <v>225000</v>
      </c>
      <c r="AO105" s="18">
        <f t="shared" si="17"/>
        <v>0</v>
      </c>
      <c r="AP105" s="18"/>
    </row>
    <row r="106" spans="1:42" ht="15.75" customHeight="1" x14ac:dyDescent="0.3">
      <c r="A106" s="7"/>
      <c r="B106" s="7"/>
      <c r="C106" s="7" t="str">
        <f t="shared" si="0"/>
        <v>VBFV60DN15</v>
      </c>
      <c r="D106" s="7" t="s">
        <v>44</v>
      </c>
      <c r="E106" s="7"/>
      <c r="F106" s="8">
        <v>350</v>
      </c>
      <c r="G106" s="9" t="s">
        <v>58</v>
      </c>
      <c r="H106" s="7" t="str">
        <f>VLOOKUP(G106,'[1]Price Components'!B:C,2,0)</f>
        <v>Meghalaya</v>
      </c>
      <c r="I106" s="7" t="str">
        <f>VLOOKUP(G106,'[1]Price Components'!B:D,3,0)</f>
        <v>EX-SHOWROOM</v>
      </c>
      <c r="J106" s="10">
        <f t="shared" si="1"/>
        <v>4.2499120484381654E-2</v>
      </c>
      <c r="K106" s="11">
        <v>166757</v>
      </c>
      <c r="L106" s="12">
        <f t="shared" si="2"/>
        <v>-323.73580994238728</v>
      </c>
      <c r="M106" s="11">
        <v>166433.26419005761</v>
      </c>
      <c r="N106" s="8">
        <v>1279</v>
      </c>
      <c r="O106" s="13">
        <f>VLOOKUP(G106,'[1]Price Components'!B:E,4,0)</f>
        <v>1060</v>
      </c>
      <c r="P106" s="13">
        <f t="shared" si="3"/>
        <v>168772</v>
      </c>
      <c r="Q106" s="14">
        <f>ROUND(IF(F106&lt;500,VLOOKUP(G106,'[1]Price Components'!B:G,5,0),VLOOKUP(G106,'[1]Price Components'!B:G,6,0)),2)</f>
        <v>1442</v>
      </c>
      <c r="R106" s="11">
        <f t="shared" si="4"/>
        <v>9181</v>
      </c>
      <c r="S106" s="13">
        <v>0</v>
      </c>
      <c r="T106" s="11">
        <f t="shared" si="5"/>
        <v>9181</v>
      </c>
      <c r="U106" s="11">
        <v>292</v>
      </c>
      <c r="V106" s="13">
        <f t="shared" si="6"/>
        <v>9473</v>
      </c>
      <c r="W106" s="13">
        <f t="shared" si="7"/>
        <v>216028</v>
      </c>
      <c r="X106" s="13">
        <f t="shared" si="8"/>
        <v>179687</v>
      </c>
      <c r="Y106" s="13">
        <f t="shared" si="9"/>
        <v>50312</v>
      </c>
      <c r="Z106" s="11">
        <v>0</v>
      </c>
      <c r="AA106" s="13">
        <f t="shared" ref="AA106:AA107" si="36">ROUND(X106+Y106+Z106,0)+1</f>
        <v>230000</v>
      </c>
      <c r="AB106" s="13" t="str">
        <f t="shared" si="11"/>
        <v>C</v>
      </c>
      <c r="AC106" s="15">
        <f>IF(AB106="A",VLOOKUP($G106,'[1]Price Components'!$B:$AC,7,0),IF(AB106="B",VLOOKUP($G106,'[1]Price Components'!$B:$AC,8,0),IF(AB106="C",VLOOKUP($G106,'[1]Price Components'!$B:$AC,9,0),IF(AB106="E",15%,IF(AB106="D",VLOOKUP($G106,'[1]Price Components'!$B:$AC,10,0))))))</f>
        <v>3.3000000000000002E-2</v>
      </c>
      <c r="AD106" s="13">
        <f>ROUND(IF(AC106=0,VLOOKUP($G106,'[1]Price Components'!$B:$AC,11,0),IF(I106="BASIC",X106*AC106,AA106*AC106)),0)</f>
        <v>7590</v>
      </c>
      <c r="AE106" s="13">
        <f>ROUND(VLOOKUP($G106,'[1]Price Components'!$B:$AC,12,0),0)</f>
        <v>300</v>
      </c>
      <c r="AF106" s="16">
        <f>VLOOKUP($G106,'[1]Price Components'!$B:$AC,14,0)</f>
        <v>7.92E-3</v>
      </c>
      <c r="AG106" s="16">
        <f>VLOOKUP($G106,'[1]Price Components'!$B:$AC,15,0)</f>
        <v>8.2979999999999998E-3</v>
      </c>
      <c r="AH106" s="13">
        <f t="shared" si="12"/>
        <v>1731</v>
      </c>
      <c r="AI106" s="13">
        <f t="shared" si="13"/>
        <v>7740</v>
      </c>
      <c r="AJ106" s="13">
        <f t="shared" si="14"/>
        <v>1705</v>
      </c>
      <c r="AK106" s="13">
        <f t="shared" si="15"/>
        <v>11176</v>
      </c>
      <c r="AL106" s="13">
        <f t="shared" si="16"/>
        <v>249066</v>
      </c>
      <c r="AM106" s="17"/>
      <c r="AN106" s="18">
        <v>230000</v>
      </c>
      <c r="AO106" s="18">
        <f t="shared" si="17"/>
        <v>0</v>
      </c>
      <c r="AP106" s="18"/>
    </row>
    <row r="107" spans="1:42" ht="15.75" customHeight="1" x14ac:dyDescent="0.3">
      <c r="A107" s="7"/>
      <c r="B107" s="7"/>
      <c r="C107" s="7" t="str">
        <f t="shared" si="0"/>
        <v>VBFV60SE16</v>
      </c>
      <c r="D107" s="7" t="s">
        <v>41</v>
      </c>
      <c r="E107" s="7"/>
      <c r="F107" s="8">
        <v>350</v>
      </c>
      <c r="G107" s="9" t="s">
        <v>59</v>
      </c>
      <c r="H107" s="7" t="str">
        <f>VLOOKUP(G107,'[1]Price Components'!B:C,2,0)</f>
        <v>Mizoram</v>
      </c>
      <c r="I107" s="7" t="str">
        <f>VLOOKUP(G107,'[1]Price Components'!B:D,3,0)</f>
        <v>BASIC</v>
      </c>
      <c r="J107" s="10">
        <f t="shared" si="1"/>
        <v>4.2497596568639537E-2</v>
      </c>
      <c r="K107" s="11">
        <v>156384</v>
      </c>
      <c r="L107" s="12">
        <f t="shared" si="2"/>
        <v>-257.75439453125</v>
      </c>
      <c r="M107" s="11">
        <v>156126.24560546875</v>
      </c>
      <c r="N107" s="8">
        <v>1279</v>
      </c>
      <c r="O107" s="13">
        <f>VLOOKUP(G107,'[1]Price Components'!B:E,4,0)</f>
        <v>1060</v>
      </c>
      <c r="P107" s="13">
        <f t="shared" si="3"/>
        <v>158465</v>
      </c>
      <c r="Q107" s="14">
        <f>ROUND(IF(F107&lt;500,VLOOKUP(G107,'[1]Price Components'!B:G,5,0),VLOOKUP(G107,'[1]Price Components'!B:G,6,0)),2)</f>
        <v>1372</v>
      </c>
      <c r="R107" s="11">
        <f t="shared" si="4"/>
        <v>8620</v>
      </c>
      <c r="S107" s="13">
        <v>0</v>
      </c>
      <c r="T107" s="11">
        <f t="shared" si="5"/>
        <v>8620</v>
      </c>
      <c r="U107" s="11">
        <v>292</v>
      </c>
      <c r="V107" s="13">
        <f t="shared" si="6"/>
        <v>8912</v>
      </c>
      <c r="W107" s="13">
        <f t="shared" si="7"/>
        <v>202835</v>
      </c>
      <c r="X107" s="13">
        <f t="shared" si="8"/>
        <v>168749</v>
      </c>
      <c r="Y107" s="13">
        <f t="shared" si="9"/>
        <v>47250</v>
      </c>
      <c r="Z107" s="11">
        <v>0</v>
      </c>
      <c r="AA107" s="13">
        <f t="shared" si="36"/>
        <v>216000</v>
      </c>
      <c r="AB107" s="13" t="str">
        <f t="shared" si="11"/>
        <v>C</v>
      </c>
      <c r="AC107" s="15">
        <f>IF(AB107="A",VLOOKUP($G107,'[1]Price Components'!$B:$AC,7,0),IF(AB107="B",VLOOKUP($G107,'[1]Price Components'!$B:$AC,8,0),IF(AB107="C",VLOOKUP($G107,'[1]Price Components'!$B:$AC,9,0),IF(AB107="E",15%,IF(AB107="D",VLOOKUP($G107,'[1]Price Components'!$B:$AC,10,0))))))</f>
        <v>0.06</v>
      </c>
      <c r="AD107" s="13">
        <f>ROUND(IF(AC107=0,VLOOKUP($G107,'[1]Price Components'!$B:$AC,11,0),IF(I107="BASIC",X107*AC107,AA107*AC107)),0)</f>
        <v>10125</v>
      </c>
      <c r="AE107" s="13">
        <f>ROUND(VLOOKUP($G107,'[1]Price Components'!$B:$AC,12,0),0)</f>
        <v>260</v>
      </c>
      <c r="AF107" s="16">
        <f>VLOOKUP($G107,'[1]Price Components'!$B:$AC,14,0)</f>
        <v>7.92E-3</v>
      </c>
      <c r="AG107" s="16">
        <f>VLOOKUP($G107,'[1]Price Components'!$B:$AC,15,0)</f>
        <v>8.2979999999999998E-3</v>
      </c>
      <c r="AH107" s="13">
        <f t="shared" si="12"/>
        <v>1625</v>
      </c>
      <c r="AI107" s="13">
        <f t="shared" si="13"/>
        <v>7740</v>
      </c>
      <c r="AJ107" s="13">
        <f t="shared" si="14"/>
        <v>1686</v>
      </c>
      <c r="AK107" s="13">
        <f t="shared" si="15"/>
        <v>11051</v>
      </c>
      <c r="AL107" s="13">
        <f t="shared" si="16"/>
        <v>237436</v>
      </c>
      <c r="AM107" s="17"/>
      <c r="AN107" s="18">
        <f>216000</f>
        <v>216000</v>
      </c>
      <c r="AO107" s="18">
        <f t="shared" si="17"/>
        <v>0</v>
      </c>
      <c r="AP107" s="18"/>
    </row>
    <row r="108" spans="1:42" ht="15.75" customHeight="1" x14ac:dyDescent="0.3">
      <c r="A108" s="7"/>
      <c r="B108" s="7"/>
      <c r="C108" s="7" t="str">
        <f t="shared" si="0"/>
        <v>VBFV60RR16</v>
      </c>
      <c r="D108" s="7" t="s">
        <v>37</v>
      </c>
      <c r="E108" s="7"/>
      <c r="F108" s="8">
        <v>350</v>
      </c>
      <c r="G108" s="9" t="s">
        <v>59</v>
      </c>
      <c r="H108" s="7" t="str">
        <f>VLOOKUP(G108,'[1]Price Components'!B:C,2,0)</f>
        <v>Mizoram</v>
      </c>
      <c r="I108" s="7" t="str">
        <f>VLOOKUP(G108,'[1]Price Components'!B:D,3,0)</f>
        <v>BASIC</v>
      </c>
      <c r="J108" s="10">
        <f t="shared" si="1"/>
        <v>4.2497609342529129E-2</v>
      </c>
      <c r="K108" s="11">
        <v>144158</v>
      </c>
      <c r="L108" s="12">
        <f t="shared" si="2"/>
        <v>-257.22922396624926</v>
      </c>
      <c r="M108" s="11">
        <v>143900.77077603375</v>
      </c>
      <c r="N108" s="8">
        <v>1279</v>
      </c>
      <c r="O108" s="13">
        <f>VLOOKUP(G108,'[1]Price Components'!B:E,4,0)</f>
        <v>1060</v>
      </c>
      <c r="P108" s="13">
        <f t="shared" si="3"/>
        <v>146240</v>
      </c>
      <c r="Q108" s="14">
        <f>ROUND(IF(F108&lt;500,VLOOKUP(G108,'[1]Price Components'!B:G,5,0),VLOOKUP(G108,'[1]Price Components'!B:G,6,0)),2)</f>
        <v>1372</v>
      </c>
      <c r="R108" s="11">
        <f t="shared" si="4"/>
        <v>7955</v>
      </c>
      <c r="S108" s="13">
        <v>0</v>
      </c>
      <c r="T108" s="11">
        <f t="shared" si="5"/>
        <v>7955</v>
      </c>
      <c r="U108" s="11">
        <v>292</v>
      </c>
      <c r="V108" s="13">
        <f t="shared" si="6"/>
        <v>8247</v>
      </c>
      <c r="W108" s="13">
        <f t="shared" si="7"/>
        <v>187187</v>
      </c>
      <c r="X108" s="13">
        <f t="shared" si="8"/>
        <v>155859</v>
      </c>
      <c r="Y108" s="13">
        <f t="shared" si="9"/>
        <v>43641</v>
      </c>
      <c r="Z108" s="11">
        <v>0</v>
      </c>
      <c r="AA108" s="13">
        <f t="shared" ref="AA108:AA112" si="37">ROUND(X108+Y108+Z108,0)</f>
        <v>199500</v>
      </c>
      <c r="AB108" s="13" t="str">
        <f t="shared" si="11"/>
        <v>B</v>
      </c>
      <c r="AC108" s="15">
        <f>IF(AB108="A",VLOOKUP($G108,'[1]Price Components'!$B:$AC,7,0),IF(AB108="B",VLOOKUP($G108,'[1]Price Components'!$B:$AC,8,0),IF(AB108="C",VLOOKUP($G108,'[1]Price Components'!$B:$AC,9,0),IF(AB108="E",15%,IF(AB108="D",VLOOKUP($G108,'[1]Price Components'!$B:$AC,10,0))))))</f>
        <v>0.06</v>
      </c>
      <c r="AD108" s="13">
        <f>ROUND(IF(AC108=0,VLOOKUP($G108,'[1]Price Components'!$B:$AC,11,0),IF(I108="BASIC",X108*AC108,AA108*AC108)),0)</f>
        <v>9352</v>
      </c>
      <c r="AE108" s="13">
        <f>ROUND(VLOOKUP($G108,'[1]Price Components'!$B:$AC,12,0),0)</f>
        <v>260</v>
      </c>
      <c r="AF108" s="16">
        <f>VLOOKUP($G108,'[1]Price Components'!$B:$AC,14,0)</f>
        <v>7.92E-3</v>
      </c>
      <c r="AG108" s="16">
        <f>VLOOKUP($G108,'[1]Price Components'!$B:$AC,15,0)</f>
        <v>8.2979999999999998E-3</v>
      </c>
      <c r="AH108" s="13">
        <f t="shared" si="12"/>
        <v>1501</v>
      </c>
      <c r="AI108" s="13">
        <f t="shared" si="13"/>
        <v>7740</v>
      </c>
      <c r="AJ108" s="13">
        <f t="shared" si="14"/>
        <v>1663</v>
      </c>
      <c r="AK108" s="13">
        <f t="shared" si="15"/>
        <v>10904</v>
      </c>
      <c r="AL108" s="13">
        <f t="shared" si="16"/>
        <v>220016</v>
      </c>
      <c r="AM108" s="17"/>
      <c r="AN108" s="18">
        <v>199500</v>
      </c>
      <c r="AO108" s="18">
        <f t="shared" si="17"/>
        <v>0</v>
      </c>
      <c r="AP108" s="18"/>
    </row>
    <row r="109" spans="1:42" ht="15.75" customHeight="1" x14ac:dyDescent="0.3">
      <c r="A109" s="7"/>
      <c r="B109" s="7"/>
      <c r="C109" s="7" t="str">
        <f t="shared" si="0"/>
        <v>VBFV60EB16</v>
      </c>
      <c r="D109" s="7" t="s">
        <v>39</v>
      </c>
      <c r="E109" s="7"/>
      <c r="F109" s="8">
        <v>350</v>
      </c>
      <c r="G109" s="9" t="s">
        <v>59</v>
      </c>
      <c r="H109" s="7" t="str">
        <f>VLOOKUP(G109,'[1]Price Components'!B:C,2,0)</f>
        <v>Mizoram</v>
      </c>
      <c r="I109" s="7" t="str">
        <f>VLOOKUP(G109,'[1]Price Components'!B:D,3,0)</f>
        <v>BASIC</v>
      </c>
      <c r="J109" s="10">
        <f t="shared" si="1"/>
        <v>4.2497609342529129E-2</v>
      </c>
      <c r="K109" s="11">
        <v>144158</v>
      </c>
      <c r="L109" s="12">
        <f t="shared" si="2"/>
        <v>-257.22922396624926</v>
      </c>
      <c r="M109" s="11">
        <v>143900.77077603375</v>
      </c>
      <c r="N109" s="8">
        <v>1279</v>
      </c>
      <c r="O109" s="13">
        <f>VLOOKUP(G109,'[1]Price Components'!B:E,4,0)</f>
        <v>1060</v>
      </c>
      <c r="P109" s="13">
        <f t="shared" si="3"/>
        <v>146240</v>
      </c>
      <c r="Q109" s="14">
        <f>ROUND(IF(F109&lt;500,VLOOKUP(G109,'[1]Price Components'!B:G,5,0),VLOOKUP(G109,'[1]Price Components'!B:G,6,0)),2)</f>
        <v>1372</v>
      </c>
      <c r="R109" s="11">
        <f t="shared" si="4"/>
        <v>7955</v>
      </c>
      <c r="S109" s="13">
        <v>0</v>
      </c>
      <c r="T109" s="11">
        <f t="shared" si="5"/>
        <v>7955</v>
      </c>
      <c r="U109" s="11">
        <v>292</v>
      </c>
      <c r="V109" s="13">
        <f t="shared" si="6"/>
        <v>8247</v>
      </c>
      <c r="W109" s="13">
        <f t="shared" si="7"/>
        <v>187187</v>
      </c>
      <c r="X109" s="13">
        <f t="shared" si="8"/>
        <v>155859</v>
      </c>
      <c r="Y109" s="13">
        <f t="shared" si="9"/>
        <v>43641</v>
      </c>
      <c r="Z109" s="11">
        <v>0</v>
      </c>
      <c r="AA109" s="13">
        <f t="shared" si="37"/>
        <v>199500</v>
      </c>
      <c r="AB109" s="13" t="str">
        <f t="shared" si="11"/>
        <v>B</v>
      </c>
      <c r="AC109" s="15">
        <f>IF(AB109="A",VLOOKUP($G109,'[1]Price Components'!$B:$AC,7,0),IF(AB109="B",VLOOKUP($G109,'[1]Price Components'!$B:$AC,8,0),IF(AB109="C",VLOOKUP($G109,'[1]Price Components'!$B:$AC,9,0),IF(AB109="E",15%,IF(AB109="D",VLOOKUP($G109,'[1]Price Components'!$B:$AC,10,0))))))</f>
        <v>0.06</v>
      </c>
      <c r="AD109" s="13">
        <f>ROUND(IF(AC109=0,VLOOKUP($G109,'[1]Price Components'!$B:$AC,11,0),IF(I109="BASIC",X109*AC109,AA109*AC109)),0)</f>
        <v>9352</v>
      </c>
      <c r="AE109" s="13">
        <f>ROUND(VLOOKUP($G109,'[1]Price Components'!$B:$AC,12,0),0)</f>
        <v>260</v>
      </c>
      <c r="AF109" s="16">
        <f>VLOOKUP($G109,'[1]Price Components'!$B:$AC,14,0)</f>
        <v>7.92E-3</v>
      </c>
      <c r="AG109" s="16">
        <f>VLOOKUP($G109,'[1]Price Components'!$B:$AC,15,0)</f>
        <v>8.2979999999999998E-3</v>
      </c>
      <c r="AH109" s="13">
        <f t="shared" si="12"/>
        <v>1501</v>
      </c>
      <c r="AI109" s="13">
        <f t="shared" si="13"/>
        <v>7740</v>
      </c>
      <c r="AJ109" s="13">
        <f t="shared" si="14"/>
        <v>1663</v>
      </c>
      <c r="AK109" s="13">
        <f t="shared" si="15"/>
        <v>10904</v>
      </c>
      <c r="AL109" s="13">
        <f t="shared" si="16"/>
        <v>220016</v>
      </c>
      <c r="AM109" s="17"/>
      <c r="AN109" s="18">
        <v>199500</v>
      </c>
      <c r="AO109" s="18">
        <f t="shared" si="17"/>
        <v>0</v>
      </c>
      <c r="AP109" s="18"/>
    </row>
    <row r="110" spans="1:42" ht="15.75" customHeight="1" x14ac:dyDescent="0.3">
      <c r="A110" s="7"/>
      <c r="B110" s="7"/>
      <c r="C110" s="7" t="str">
        <f t="shared" si="0"/>
        <v>VBFV60HG16</v>
      </c>
      <c r="D110" s="7" t="s">
        <v>40</v>
      </c>
      <c r="E110" s="7"/>
      <c r="F110" s="8">
        <v>350</v>
      </c>
      <c r="G110" s="9" t="s">
        <v>59</v>
      </c>
      <c r="H110" s="7" t="str">
        <f>VLOOKUP(G110,'[1]Price Components'!B:C,2,0)</f>
        <v>Mizoram</v>
      </c>
      <c r="I110" s="7" t="str">
        <f>VLOOKUP(G110,'[1]Price Components'!B:D,3,0)</f>
        <v>BASIC</v>
      </c>
      <c r="J110" s="10">
        <f t="shared" si="1"/>
        <v>4.250084876341699E-2</v>
      </c>
      <c r="K110" s="11">
        <v>147492</v>
      </c>
      <c r="L110" s="12">
        <f t="shared" si="2"/>
        <v>-257.05536916121491</v>
      </c>
      <c r="M110" s="11">
        <v>147234.94463083879</v>
      </c>
      <c r="N110" s="8">
        <v>1279</v>
      </c>
      <c r="O110" s="13">
        <f>VLOOKUP(G110,'[1]Price Components'!B:E,4,0)</f>
        <v>1060</v>
      </c>
      <c r="P110" s="13">
        <f t="shared" si="3"/>
        <v>149574</v>
      </c>
      <c r="Q110" s="14">
        <f>ROUND(IF(F110&lt;500,VLOOKUP(G110,'[1]Price Components'!B:G,5,0),VLOOKUP(G110,'[1]Price Components'!B:G,6,0)),2)</f>
        <v>1372</v>
      </c>
      <c r="R110" s="11">
        <f t="shared" si="4"/>
        <v>8137</v>
      </c>
      <c r="S110" s="13">
        <v>0</v>
      </c>
      <c r="T110" s="11">
        <f t="shared" si="5"/>
        <v>8137</v>
      </c>
      <c r="U110" s="11">
        <v>292</v>
      </c>
      <c r="V110" s="13">
        <f t="shared" si="6"/>
        <v>8429</v>
      </c>
      <c r="W110" s="13">
        <f t="shared" si="7"/>
        <v>191455</v>
      </c>
      <c r="X110" s="13">
        <f t="shared" si="8"/>
        <v>159375</v>
      </c>
      <c r="Y110" s="13">
        <f t="shared" si="9"/>
        <v>44625</v>
      </c>
      <c r="Z110" s="11">
        <v>0</v>
      </c>
      <c r="AA110" s="13">
        <f t="shared" si="37"/>
        <v>204000</v>
      </c>
      <c r="AB110" s="13" t="str">
        <f t="shared" si="11"/>
        <v>C</v>
      </c>
      <c r="AC110" s="15">
        <f>IF(AB110="A",VLOOKUP($G110,'[1]Price Components'!$B:$AC,7,0),IF(AB110="B",VLOOKUP($G110,'[1]Price Components'!$B:$AC,8,0),IF(AB110="C",VLOOKUP($G110,'[1]Price Components'!$B:$AC,9,0),IF(AB110="E",15%,IF(AB110="D",VLOOKUP($G110,'[1]Price Components'!$B:$AC,10,0))))))</f>
        <v>0.06</v>
      </c>
      <c r="AD110" s="13">
        <f>ROUND(IF(AC110=0,VLOOKUP($G110,'[1]Price Components'!$B:$AC,11,0),IF(I110="BASIC",X110*AC110,AA110*AC110)),0)</f>
        <v>9563</v>
      </c>
      <c r="AE110" s="13">
        <f>ROUND(VLOOKUP($G110,'[1]Price Components'!$B:$AC,12,0),0)</f>
        <v>260</v>
      </c>
      <c r="AF110" s="16">
        <f>VLOOKUP($G110,'[1]Price Components'!$B:$AC,14,0)</f>
        <v>7.92E-3</v>
      </c>
      <c r="AG110" s="16">
        <f>VLOOKUP($G110,'[1]Price Components'!$B:$AC,15,0)</f>
        <v>8.2979999999999998E-3</v>
      </c>
      <c r="AH110" s="13">
        <f t="shared" si="12"/>
        <v>1535</v>
      </c>
      <c r="AI110" s="13">
        <f t="shared" si="13"/>
        <v>7740</v>
      </c>
      <c r="AJ110" s="13">
        <f t="shared" si="14"/>
        <v>1670</v>
      </c>
      <c r="AK110" s="13">
        <f t="shared" si="15"/>
        <v>10945</v>
      </c>
      <c r="AL110" s="13">
        <f t="shared" si="16"/>
        <v>224768</v>
      </c>
      <c r="AM110" s="17"/>
      <c r="AN110" s="18">
        <v>204000</v>
      </c>
      <c r="AO110" s="18">
        <f t="shared" si="17"/>
        <v>0</v>
      </c>
      <c r="AP110" s="18"/>
    </row>
    <row r="111" spans="1:42" ht="15.75" customHeight="1" x14ac:dyDescent="0.3">
      <c r="A111" s="7"/>
      <c r="B111" s="7"/>
      <c r="C111" s="7" t="str">
        <f t="shared" si="0"/>
        <v>VBFV60GM16</v>
      </c>
      <c r="D111" s="7" t="s">
        <v>42</v>
      </c>
      <c r="E111" s="7"/>
      <c r="F111" s="8">
        <v>350</v>
      </c>
      <c r="G111" s="9" t="s">
        <v>59</v>
      </c>
      <c r="H111" s="7" t="str">
        <f>VLOOKUP(G111,'[1]Price Components'!B:C,2,0)</f>
        <v>Mizoram</v>
      </c>
      <c r="I111" s="7" t="str">
        <f>VLOOKUP(G111,'[1]Price Components'!B:D,3,0)</f>
        <v>BASIC</v>
      </c>
      <c r="J111" s="10">
        <f t="shared" si="1"/>
        <v>4.2498533391366881E-2</v>
      </c>
      <c r="K111" s="11">
        <v>163052</v>
      </c>
      <c r="L111" s="12">
        <f t="shared" si="2"/>
        <v>-257.06062698771711</v>
      </c>
      <c r="M111" s="11">
        <v>162794.93937301228</v>
      </c>
      <c r="N111" s="8">
        <v>1279</v>
      </c>
      <c r="O111" s="13">
        <f>VLOOKUP(G111,'[1]Price Components'!B:E,4,0)</f>
        <v>1060</v>
      </c>
      <c r="P111" s="13">
        <f t="shared" si="3"/>
        <v>165134</v>
      </c>
      <c r="Q111" s="14">
        <f>ROUND(IF(F111&lt;500,VLOOKUP(G111,'[1]Price Components'!B:G,5,0),VLOOKUP(G111,'[1]Price Components'!B:G,6,0)),2)</f>
        <v>1372</v>
      </c>
      <c r="R111" s="11">
        <f t="shared" si="4"/>
        <v>8983</v>
      </c>
      <c r="S111" s="13">
        <v>0</v>
      </c>
      <c r="T111" s="11">
        <f t="shared" si="5"/>
        <v>8983</v>
      </c>
      <c r="U111" s="11">
        <v>292</v>
      </c>
      <c r="V111" s="13">
        <f t="shared" si="6"/>
        <v>9275</v>
      </c>
      <c r="W111" s="13">
        <f t="shared" si="7"/>
        <v>211372</v>
      </c>
      <c r="X111" s="13">
        <f t="shared" si="8"/>
        <v>175781</v>
      </c>
      <c r="Y111" s="13">
        <f t="shared" si="9"/>
        <v>49219</v>
      </c>
      <c r="Z111" s="11">
        <v>0</v>
      </c>
      <c r="AA111" s="13">
        <f t="shared" si="37"/>
        <v>225000</v>
      </c>
      <c r="AB111" s="13" t="str">
        <f t="shared" si="11"/>
        <v>C</v>
      </c>
      <c r="AC111" s="15">
        <f>IF(AB111="A",VLOOKUP($G111,'[1]Price Components'!$B:$AC,7,0),IF(AB111="B",VLOOKUP($G111,'[1]Price Components'!$B:$AC,8,0),IF(AB111="C",VLOOKUP($G111,'[1]Price Components'!$B:$AC,9,0),IF(AB111="E",15%,IF(AB111="D",VLOOKUP($G111,'[1]Price Components'!$B:$AC,10,0))))))</f>
        <v>0.06</v>
      </c>
      <c r="AD111" s="13">
        <f>ROUND(IF(AC111=0,VLOOKUP($G111,'[1]Price Components'!$B:$AC,11,0),IF(I111="BASIC",X111*AC111,AA111*AC111)),0)</f>
        <v>10547</v>
      </c>
      <c r="AE111" s="13">
        <f>ROUND(VLOOKUP($G111,'[1]Price Components'!$B:$AC,12,0),0)</f>
        <v>260</v>
      </c>
      <c r="AF111" s="16">
        <f>VLOOKUP($G111,'[1]Price Components'!$B:$AC,14,0)</f>
        <v>7.92E-3</v>
      </c>
      <c r="AG111" s="16">
        <f>VLOOKUP($G111,'[1]Price Components'!$B:$AC,15,0)</f>
        <v>8.2979999999999998E-3</v>
      </c>
      <c r="AH111" s="13">
        <f t="shared" si="12"/>
        <v>1693</v>
      </c>
      <c r="AI111" s="13">
        <f t="shared" si="13"/>
        <v>7740</v>
      </c>
      <c r="AJ111" s="13">
        <f t="shared" si="14"/>
        <v>1698</v>
      </c>
      <c r="AK111" s="13">
        <f t="shared" si="15"/>
        <v>11131</v>
      </c>
      <c r="AL111" s="13">
        <f t="shared" si="16"/>
        <v>246938</v>
      </c>
      <c r="AM111" s="17"/>
      <c r="AN111" s="18">
        <v>225000</v>
      </c>
      <c r="AO111" s="18">
        <f t="shared" si="17"/>
        <v>0</v>
      </c>
      <c r="AP111" s="18"/>
    </row>
    <row r="112" spans="1:42" ht="15.75" customHeight="1" x14ac:dyDescent="0.3">
      <c r="A112" s="7"/>
      <c r="B112" s="7"/>
      <c r="C112" s="7" t="str">
        <f t="shared" si="0"/>
        <v>VBFV60SB16</v>
      </c>
      <c r="D112" s="7" t="s">
        <v>43</v>
      </c>
      <c r="E112" s="7"/>
      <c r="F112" s="8">
        <v>350</v>
      </c>
      <c r="G112" s="9" t="s">
        <v>59</v>
      </c>
      <c r="H112" s="7" t="str">
        <f>VLOOKUP(G112,'[1]Price Components'!B:C,2,0)</f>
        <v>Mizoram</v>
      </c>
      <c r="I112" s="7" t="str">
        <f>VLOOKUP(G112,'[1]Price Components'!B:D,3,0)</f>
        <v>BASIC</v>
      </c>
      <c r="J112" s="10">
        <f t="shared" si="1"/>
        <v>4.2498533391366881E-2</v>
      </c>
      <c r="K112" s="11">
        <v>163052</v>
      </c>
      <c r="L112" s="12">
        <f t="shared" si="2"/>
        <v>-257.06062698771711</v>
      </c>
      <c r="M112" s="11">
        <v>162794.93937301228</v>
      </c>
      <c r="N112" s="8">
        <v>1279</v>
      </c>
      <c r="O112" s="13">
        <f>VLOOKUP(G112,'[1]Price Components'!B:E,4,0)</f>
        <v>1060</v>
      </c>
      <c r="P112" s="13">
        <f t="shared" si="3"/>
        <v>165134</v>
      </c>
      <c r="Q112" s="14">
        <f>ROUND(IF(F112&lt;500,VLOOKUP(G112,'[1]Price Components'!B:G,5,0),VLOOKUP(G112,'[1]Price Components'!B:G,6,0)),2)</f>
        <v>1372</v>
      </c>
      <c r="R112" s="11">
        <f t="shared" si="4"/>
        <v>8983</v>
      </c>
      <c r="S112" s="13">
        <v>0</v>
      </c>
      <c r="T112" s="11">
        <f t="shared" si="5"/>
        <v>8983</v>
      </c>
      <c r="U112" s="11">
        <v>292</v>
      </c>
      <c r="V112" s="13">
        <f t="shared" si="6"/>
        <v>9275</v>
      </c>
      <c r="W112" s="13">
        <f t="shared" si="7"/>
        <v>211372</v>
      </c>
      <c r="X112" s="13">
        <f t="shared" si="8"/>
        <v>175781</v>
      </c>
      <c r="Y112" s="13">
        <f t="shared" si="9"/>
        <v>49219</v>
      </c>
      <c r="Z112" s="11">
        <v>0</v>
      </c>
      <c r="AA112" s="13">
        <f t="shared" si="37"/>
        <v>225000</v>
      </c>
      <c r="AB112" s="13" t="str">
        <f t="shared" si="11"/>
        <v>C</v>
      </c>
      <c r="AC112" s="15">
        <f>IF(AB112="A",VLOOKUP($G112,'[1]Price Components'!$B:$AC,7,0),IF(AB112="B",VLOOKUP($G112,'[1]Price Components'!$B:$AC,8,0),IF(AB112="C",VLOOKUP($G112,'[1]Price Components'!$B:$AC,9,0),IF(AB112="E",15%,IF(AB112="D",VLOOKUP($G112,'[1]Price Components'!$B:$AC,10,0))))))</f>
        <v>0.06</v>
      </c>
      <c r="AD112" s="13">
        <f>ROUND(IF(AC112=0,VLOOKUP($G112,'[1]Price Components'!$B:$AC,11,0),IF(I112="BASIC",X112*AC112,AA112*AC112)),0)</f>
        <v>10547</v>
      </c>
      <c r="AE112" s="13">
        <f>ROUND(VLOOKUP($G112,'[1]Price Components'!$B:$AC,12,0),0)</f>
        <v>260</v>
      </c>
      <c r="AF112" s="16">
        <f>VLOOKUP($G112,'[1]Price Components'!$B:$AC,14,0)</f>
        <v>7.92E-3</v>
      </c>
      <c r="AG112" s="16">
        <f>VLOOKUP($G112,'[1]Price Components'!$B:$AC,15,0)</f>
        <v>8.2979999999999998E-3</v>
      </c>
      <c r="AH112" s="13">
        <f t="shared" si="12"/>
        <v>1693</v>
      </c>
      <c r="AI112" s="13">
        <f t="shared" si="13"/>
        <v>7740</v>
      </c>
      <c r="AJ112" s="13">
        <f t="shared" si="14"/>
        <v>1698</v>
      </c>
      <c r="AK112" s="13">
        <f t="shared" si="15"/>
        <v>11131</v>
      </c>
      <c r="AL112" s="13">
        <f t="shared" si="16"/>
        <v>246938</v>
      </c>
      <c r="AM112" s="17"/>
      <c r="AN112" s="18">
        <v>225000</v>
      </c>
      <c r="AO112" s="18">
        <f t="shared" si="17"/>
        <v>0</v>
      </c>
      <c r="AP112" s="18"/>
    </row>
    <row r="113" spans="1:42" ht="15.75" customHeight="1" x14ac:dyDescent="0.3">
      <c r="A113" s="7"/>
      <c r="B113" s="7"/>
      <c r="C113" s="7" t="str">
        <f t="shared" si="0"/>
        <v>VBFV60DN16</v>
      </c>
      <c r="D113" s="7" t="s">
        <v>44</v>
      </c>
      <c r="E113" s="7"/>
      <c r="F113" s="8">
        <v>350</v>
      </c>
      <c r="G113" s="9" t="s">
        <v>59</v>
      </c>
      <c r="H113" s="7" t="str">
        <f>VLOOKUP(G113,'[1]Price Components'!B:C,2,0)</f>
        <v>Mizoram</v>
      </c>
      <c r="I113" s="7" t="str">
        <f>VLOOKUP(G113,'[1]Price Components'!B:D,3,0)</f>
        <v>BASIC</v>
      </c>
      <c r="J113" s="10">
        <f t="shared" si="1"/>
        <v>4.2500913873760489E-2</v>
      </c>
      <c r="K113" s="11">
        <v>166757</v>
      </c>
      <c r="L113" s="12">
        <f t="shared" si="2"/>
        <v>-257.68861152525642</v>
      </c>
      <c r="M113" s="11">
        <v>166499.31138847474</v>
      </c>
      <c r="N113" s="8">
        <v>1279</v>
      </c>
      <c r="O113" s="13">
        <f>VLOOKUP(G113,'[1]Price Components'!B:E,4,0)</f>
        <v>1060</v>
      </c>
      <c r="P113" s="13">
        <f t="shared" si="3"/>
        <v>168838</v>
      </c>
      <c r="Q113" s="14">
        <f>ROUND(IF(F113&lt;500,VLOOKUP(G113,'[1]Price Components'!B:G,5,0),VLOOKUP(G113,'[1]Price Components'!B:G,6,0)),2)</f>
        <v>1372</v>
      </c>
      <c r="R113" s="11">
        <f t="shared" si="4"/>
        <v>9185</v>
      </c>
      <c r="S113" s="13">
        <v>0</v>
      </c>
      <c r="T113" s="11">
        <f t="shared" si="5"/>
        <v>9185</v>
      </c>
      <c r="U113" s="11">
        <v>292</v>
      </c>
      <c r="V113" s="13">
        <f t="shared" si="6"/>
        <v>9477</v>
      </c>
      <c r="W113" s="13">
        <f t="shared" si="7"/>
        <v>216113</v>
      </c>
      <c r="X113" s="13">
        <f t="shared" si="8"/>
        <v>179687</v>
      </c>
      <c r="Y113" s="13">
        <f t="shared" si="9"/>
        <v>50312</v>
      </c>
      <c r="Z113" s="11">
        <v>0</v>
      </c>
      <c r="AA113" s="13">
        <f>ROUND(X113+Y113+Z113,0)+1</f>
        <v>230000</v>
      </c>
      <c r="AB113" s="13" t="str">
        <f t="shared" si="11"/>
        <v>C</v>
      </c>
      <c r="AC113" s="15">
        <f>IF(AB113="A",VLOOKUP($G113,'[1]Price Components'!$B:$AC,7,0),IF(AB113="B",VLOOKUP($G113,'[1]Price Components'!$B:$AC,8,0),IF(AB113="C",VLOOKUP($G113,'[1]Price Components'!$B:$AC,9,0),IF(AB113="E",15%,IF(AB113="D",VLOOKUP($G113,'[1]Price Components'!$B:$AC,10,0))))))</f>
        <v>0.06</v>
      </c>
      <c r="AD113" s="13">
        <f>ROUND(IF(AC113=0,VLOOKUP($G113,'[1]Price Components'!$B:$AC,11,0),IF(I113="BASIC",X113*AC113,AA113*AC113)),0)</f>
        <v>10781</v>
      </c>
      <c r="AE113" s="13">
        <f>ROUND(VLOOKUP($G113,'[1]Price Components'!$B:$AC,12,0),0)</f>
        <v>260</v>
      </c>
      <c r="AF113" s="16">
        <f>VLOOKUP($G113,'[1]Price Components'!$B:$AC,14,0)</f>
        <v>7.92E-3</v>
      </c>
      <c r="AG113" s="16">
        <f>VLOOKUP($G113,'[1]Price Components'!$B:$AC,15,0)</f>
        <v>8.2979999999999998E-3</v>
      </c>
      <c r="AH113" s="13">
        <f t="shared" si="12"/>
        <v>1731</v>
      </c>
      <c r="AI113" s="13">
        <f t="shared" si="13"/>
        <v>7740</v>
      </c>
      <c r="AJ113" s="13">
        <f t="shared" si="14"/>
        <v>1705</v>
      </c>
      <c r="AK113" s="13">
        <f t="shared" si="15"/>
        <v>11176</v>
      </c>
      <c r="AL113" s="13">
        <f t="shared" si="16"/>
        <v>252217</v>
      </c>
      <c r="AM113" s="17"/>
      <c r="AN113" s="18">
        <v>230000</v>
      </c>
      <c r="AO113" s="18">
        <f t="shared" si="17"/>
        <v>0</v>
      </c>
      <c r="AP113" s="18"/>
    </row>
    <row r="114" spans="1:42" ht="15.75" customHeight="1" x14ac:dyDescent="0.3">
      <c r="A114" s="7"/>
      <c r="B114" s="7"/>
      <c r="C114" s="7" t="str">
        <f t="shared" si="0"/>
        <v>VBFV60RR17</v>
      </c>
      <c r="D114" s="7" t="s">
        <v>37</v>
      </c>
      <c r="E114" s="7"/>
      <c r="F114" s="8">
        <v>350</v>
      </c>
      <c r="G114" s="9" t="s">
        <v>60</v>
      </c>
      <c r="H114" s="7" t="str">
        <f>VLOOKUP(G114,'[1]Price Components'!B:C,2,0)</f>
        <v>Nagaland</v>
      </c>
      <c r="I114" s="7" t="str">
        <f>VLOOKUP(G114,'[1]Price Components'!B:D,3,0)</f>
        <v>BASIC</v>
      </c>
      <c r="J114" s="10">
        <f t="shared" si="1"/>
        <v>4.2501109026675435E-2</v>
      </c>
      <c r="K114" s="11">
        <v>144158</v>
      </c>
      <c r="L114" s="12">
        <f t="shared" si="2"/>
        <v>-323.72438052890357</v>
      </c>
      <c r="M114" s="11">
        <v>143834.2756194711</v>
      </c>
      <c r="N114" s="8">
        <v>1279</v>
      </c>
      <c r="O114" s="13">
        <f>VLOOKUP(G114,'[1]Price Components'!B:E,4,0)</f>
        <v>1060</v>
      </c>
      <c r="P114" s="13">
        <f t="shared" si="3"/>
        <v>146173</v>
      </c>
      <c r="Q114" s="14">
        <f>ROUND(IF(F114&lt;500,VLOOKUP(G114,'[1]Price Components'!B:G,5,0),VLOOKUP(G114,'[1]Price Components'!B:G,6,0)),2)</f>
        <v>1442</v>
      </c>
      <c r="R114" s="11">
        <f t="shared" si="4"/>
        <v>7952</v>
      </c>
      <c r="S114" s="13">
        <v>0</v>
      </c>
      <c r="T114" s="11">
        <f t="shared" si="5"/>
        <v>7952</v>
      </c>
      <c r="U114" s="11">
        <v>292</v>
      </c>
      <c r="V114" s="13">
        <f t="shared" si="6"/>
        <v>8244</v>
      </c>
      <c r="W114" s="13">
        <f t="shared" si="7"/>
        <v>187101</v>
      </c>
      <c r="X114" s="13">
        <f t="shared" si="8"/>
        <v>155859</v>
      </c>
      <c r="Y114" s="13">
        <f t="shared" si="9"/>
        <v>43641</v>
      </c>
      <c r="Z114" s="11">
        <v>0</v>
      </c>
      <c r="AA114" s="13">
        <f t="shared" ref="AA114:AA119" si="38">ROUND(X114+Y114+Z114,0)</f>
        <v>199500</v>
      </c>
      <c r="AB114" s="13" t="str">
        <f t="shared" si="11"/>
        <v>B</v>
      </c>
      <c r="AC114" s="15">
        <f>IF(AB114="A",VLOOKUP($G114,'[1]Price Components'!$B:$AC,7,0),IF(AB114="B",VLOOKUP($G114,'[1]Price Components'!$B:$AC,8,0),IF(AB114="C",VLOOKUP($G114,'[1]Price Components'!$B:$AC,9,0),IF(AB114="E",15%,IF(AB114="D",VLOOKUP($G114,'[1]Price Components'!$B:$AC,10,0))))))</f>
        <v>0.05</v>
      </c>
      <c r="AD114" s="13">
        <f>ROUND(IF(AC114=0,VLOOKUP($G114,'[1]Price Components'!$B:$AC,11,0),IF(I114="BASIC",X114*AC114,AA114*AC114)),0)</f>
        <v>7793</v>
      </c>
      <c r="AE114" s="13">
        <f>ROUND(VLOOKUP($G114,'[1]Price Components'!$B:$AC,12,0),0)</f>
        <v>300</v>
      </c>
      <c r="AF114" s="16">
        <f>VLOOKUP($G114,'[1]Price Components'!$B:$AC,14,0)</f>
        <v>7.92E-3</v>
      </c>
      <c r="AG114" s="16">
        <f>VLOOKUP($G114,'[1]Price Components'!$B:$AC,15,0)</f>
        <v>8.2979999999999998E-3</v>
      </c>
      <c r="AH114" s="13">
        <f t="shared" si="12"/>
        <v>1501</v>
      </c>
      <c r="AI114" s="13">
        <f t="shared" si="13"/>
        <v>7740</v>
      </c>
      <c r="AJ114" s="13">
        <f t="shared" si="14"/>
        <v>1663</v>
      </c>
      <c r="AK114" s="13">
        <f t="shared" si="15"/>
        <v>10904</v>
      </c>
      <c r="AL114" s="13">
        <f t="shared" si="16"/>
        <v>218497</v>
      </c>
      <c r="AM114" s="17"/>
      <c r="AN114" s="18">
        <v>199500</v>
      </c>
      <c r="AO114" s="18">
        <f t="shared" si="17"/>
        <v>0</v>
      </c>
      <c r="AP114" s="18"/>
    </row>
    <row r="115" spans="1:42" ht="15.75" customHeight="1" x14ac:dyDescent="0.3">
      <c r="A115" s="7"/>
      <c r="B115" s="7"/>
      <c r="C115" s="7" t="str">
        <f t="shared" si="0"/>
        <v>VBFV60EB17</v>
      </c>
      <c r="D115" s="7" t="s">
        <v>39</v>
      </c>
      <c r="E115" s="7"/>
      <c r="F115" s="8">
        <v>350</v>
      </c>
      <c r="G115" s="9" t="s">
        <v>60</v>
      </c>
      <c r="H115" s="7" t="str">
        <f>VLOOKUP(G115,'[1]Price Components'!B:C,2,0)</f>
        <v>Nagaland</v>
      </c>
      <c r="I115" s="7" t="str">
        <f>VLOOKUP(G115,'[1]Price Components'!B:D,3,0)</f>
        <v>BASIC</v>
      </c>
      <c r="J115" s="10">
        <f t="shared" si="1"/>
        <v>4.2501109026675435E-2</v>
      </c>
      <c r="K115" s="11">
        <v>144158</v>
      </c>
      <c r="L115" s="12">
        <f t="shared" si="2"/>
        <v>-323.72438052890357</v>
      </c>
      <c r="M115" s="11">
        <v>143834.2756194711</v>
      </c>
      <c r="N115" s="8">
        <v>1279</v>
      </c>
      <c r="O115" s="13">
        <f>VLOOKUP(G115,'[1]Price Components'!B:E,4,0)</f>
        <v>1060</v>
      </c>
      <c r="P115" s="13">
        <f t="shared" si="3"/>
        <v>146173</v>
      </c>
      <c r="Q115" s="14">
        <f>ROUND(IF(F115&lt;500,VLOOKUP(G115,'[1]Price Components'!B:G,5,0),VLOOKUP(G115,'[1]Price Components'!B:G,6,0)),2)</f>
        <v>1442</v>
      </c>
      <c r="R115" s="11">
        <f t="shared" si="4"/>
        <v>7952</v>
      </c>
      <c r="S115" s="13">
        <v>0</v>
      </c>
      <c r="T115" s="11">
        <f t="shared" si="5"/>
        <v>7952</v>
      </c>
      <c r="U115" s="11">
        <v>292</v>
      </c>
      <c r="V115" s="13">
        <f t="shared" si="6"/>
        <v>8244</v>
      </c>
      <c r="W115" s="13">
        <f t="shared" si="7"/>
        <v>187101</v>
      </c>
      <c r="X115" s="13">
        <f t="shared" si="8"/>
        <v>155859</v>
      </c>
      <c r="Y115" s="13">
        <f t="shared" si="9"/>
        <v>43641</v>
      </c>
      <c r="Z115" s="11">
        <v>0</v>
      </c>
      <c r="AA115" s="13">
        <f t="shared" si="38"/>
        <v>199500</v>
      </c>
      <c r="AB115" s="13" t="str">
        <f t="shared" si="11"/>
        <v>B</v>
      </c>
      <c r="AC115" s="15">
        <f>IF(AB115="A",VLOOKUP($G115,'[1]Price Components'!$B:$AC,7,0),IF(AB115="B",VLOOKUP($G115,'[1]Price Components'!$B:$AC,8,0),IF(AB115="C",VLOOKUP($G115,'[1]Price Components'!$B:$AC,9,0),IF(AB115="E",15%,IF(AB115="D",VLOOKUP($G115,'[1]Price Components'!$B:$AC,10,0))))))</f>
        <v>0.05</v>
      </c>
      <c r="AD115" s="13">
        <f>ROUND(IF(AC115=0,VLOOKUP($G115,'[1]Price Components'!$B:$AC,11,0),IF(I115="BASIC",X115*AC115,AA115*AC115)),0)</f>
        <v>7793</v>
      </c>
      <c r="AE115" s="13">
        <f>ROUND(VLOOKUP($G115,'[1]Price Components'!$B:$AC,12,0),0)</f>
        <v>300</v>
      </c>
      <c r="AF115" s="16">
        <f>VLOOKUP($G115,'[1]Price Components'!$B:$AC,14,0)</f>
        <v>7.92E-3</v>
      </c>
      <c r="AG115" s="16">
        <f>VLOOKUP($G115,'[1]Price Components'!$B:$AC,15,0)</f>
        <v>8.2979999999999998E-3</v>
      </c>
      <c r="AH115" s="13">
        <f t="shared" si="12"/>
        <v>1501</v>
      </c>
      <c r="AI115" s="13">
        <f t="shared" si="13"/>
        <v>7740</v>
      </c>
      <c r="AJ115" s="13">
        <f t="shared" si="14"/>
        <v>1663</v>
      </c>
      <c r="AK115" s="13">
        <f t="shared" si="15"/>
        <v>10904</v>
      </c>
      <c r="AL115" s="13">
        <f t="shared" si="16"/>
        <v>218497</v>
      </c>
      <c r="AM115" s="17"/>
      <c r="AN115" s="18">
        <v>199500</v>
      </c>
      <c r="AO115" s="18">
        <f t="shared" si="17"/>
        <v>0</v>
      </c>
      <c r="AP115" s="18"/>
    </row>
    <row r="116" spans="1:42" ht="15.75" customHeight="1" x14ac:dyDescent="0.3">
      <c r="A116" s="7"/>
      <c r="B116" s="7"/>
      <c r="C116" s="7" t="str">
        <f t="shared" si="0"/>
        <v>VBFV60HG17</v>
      </c>
      <c r="D116" s="7" t="s">
        <v>40</v>
      </c>
      <c r="E116" s="7"/>
      <c r="F116" s="8">
        <v>350</v>
      </c>
      <c r="G116" s="9" t="s">
        <v>60</v>
      </c>
      <c r="H116" s="7" t="str">
        <f>VLOOKUP(G116,'[1]Price Components'!B:C,2,0)</f>
        <v>Nagaland</v>
      </c>
      <c r="I116" s="7" t="str">
        <f>VLOOKUP(G116,'[1]Price Components'!B:D,3,0)</f>
        <v>BASIC</v>
      </c>
      <c r="J116" s="10">
        <f t="shared" si="1"/>
        <v>4.2498824267126506E-2</v>
      </c>
      <c r="K116" s="11">
        <v>147492</v>
      </c>
      <c r="L116" s="12">
        <f t="shared" si="2"/>
        <v>-323.14830150755006</v>
      </c>
      <c r="M116" s="11">
        <v>147168.85169849245</v>
      </c>
      <c r="N116" s="8">
        <v>1279</v>
      </c>
      <c r="O116" s="13">
        <f>VLOOKUP(G116,'[1]Price Components'!B:E,4,0)</f>
        <v>1060</v>
      </c>
      <c r="P116" s="13">
        <f t="shared" si="3"/>
        <v>149508</v>
      </c>
      <c r="Q116" s="14">
        <f>ROUND(IF(F116&lt;500,VLOOKUP(G116,'[1]Price Components'!B:G,5,0),VLOOKUP(G116,'[1]Price Components'!B:G,6,0)),2)</f>
        <v>1442</v>
      </c>
      <c r="R116" s="11">
        <f t="shared" si="4"/>
        <v>8133</v>
      </c>
      <c r="S116" s="13">
        <v>0</v>
      </c>
      <c r="T116" s="11">
        <f t="shared" si="5"/>
        <v>8133</v>
      </c>
      <c r="U116" s="11">
        <v>292</v>
      </c>
      <c r="V116" s="13">
        <f t="shared" si="6"/>
        <v>8425</v>
      </c>
      <c r="W116" s="13">
        <f t="shared" si="7"/>
        <v>191370</v>
      </c>
      <c r="X116" s="13">
        <f t="shared" si="8"/>
        <v>159375</v>
      </c>
      <c r="Y116" s="13">
        <f t="shared" si="9"/>
        <v>44625</v>
      </c>
      <c r="Z116" s="11">
        <v>0</v>
      </c>
      <c r="AA116" s="13">
        <f t="shared" si="38"/>
        <v>204000</v>
      </c>
      <c r="AB116" s="13" t="str">
        <f t="shared" si="11"/>
        <v>C</v>
      </c>
      <c r="AC116" s="15">
        <f>IF(AB116="A",VLOOKUP($G116,'[1]Price Components'!$B:$AC,7,0),IF(AB116="B",VLOOKUP($G116,'[1]Price Components'!$B:$AC,8,0),IF(AB116="C",VLOOKUP($G116,'[1]Price Components'!$B:$AC,9,0),IF(AB116="E",15%,IF(AB116="D",VLOOKUP($G116,'[1]Price Components'!$B:$AC,10,0))))))</f>
        <v>0.05</v>
      </c>
      <c r="AD116" s="13">
        <f>ROUND(IF(AC116=0,VLOOKUP($G116,'[1]Price Components'!$B:$AC,11,0),IF(I116="BASIC",X116*AC116,AA116*AC116)),0)</f>
        <v>7969</v>
      </c>
      <c r="AE116" s="13">
        <f>ROUND(VLOOKUP($G116,'[1]Price Components'!$B:$AC,12,0),0)</f>
        <v>300</v>
      </c>
      <c r="AF116" s="16">
        <f>VLOOKUP($G116,'[1]Price Components'!$B:$AC,14,0)</f>
        <v>7.92E-3</v>
      </c>
      <c r="AG116" s="16">
        <f>VLOOKUP($G116,'[1]Price Components'!$B:$AC,15,0)</f>
        <v>8.2979999999999998E-3</v>
      </c>
      <c r="AH116" s="13">
        <f t="shared" si="12"/>
        <v>1535</v>
      </c>
      <c r="AI116" s="13">
        <f t="shared" si="13"/>
        <v>7740</v>
      </c>
      <c r="AJ116" s="13">
        <f t="shared" si="14"/>
        <v>1670</v>
      </c>
      <c r="AK116" s="13">
        <f t="shared" si="15"/>
        <v>10945</v>
      </c>
      <c r="AL116" s="13">
        <f t="shared" si="16"/>
        <v>223214</v>
      </c>
      <c r="AM116" s="17"/>
      <c r="AN116" s="18">
        <v>204000</v>
      </c>
      <c r="AO116" s="18">
        <f t="shared" si="17"/>
        <v>0</v>
      </c>
      <c r="AP116" s="18"/>
    </row>
    <row r="117" spans="1:42" ht="15.75" customHeight="1" x14ac:dyDescent="0.3">
      <c r="A117" s="7"/>
      <c r="B117" s="7"/>
      <c r="C117" s="7" t="str">
        <f t="shared" si="0"/>
        <v>VBFV60SE17</v>
      </c>
      <c r="D117" s="7" t="s">
        <v>41</v>
      </c>
      <c r="E117" s="7"/>
      <c r="F117" s="8">
        <v>350</v>
      </c>
      <c r="G117" s="9" t="s">
        <v>60</v>
      </c>
      <c r="H117" s="7" t="str">
        <f>VLOOKUP(G117,'[1]Price Components'!B:C,2,0)</f>
        <v>Nagaland</v>
      </c>
      <c r="I117" s="7" t="str">
        <f>VLOOKUP(G117,'[1]Price Components'!B:D,3,0)</f>
        <v>BASIC</v>
      </c>
      <c r="J117" s="10">
        <f t="shared" si="1"/>
        <v>4.2500406903048564E-2</v>
      </c>
      <c r="K117" s="11">
        <v>156384</v>
      </c>
      <c r="L117" s="12">
        <f t="shared" si="2"/>
        <v>-324.31909090909176</v>
      </c>
      <c r="M117" s="11">
        <v>156059.68090909091</v>
      </c>
      <c r="N117" s="8">
        <v>1279</v>
      </c>
      <c r="O117" s="13">
        <f>VLOOKUP(G117,'[1]Price Components'!B:E,4,0)</f>
        <v>1060</v>
      </c>
      <c r="P117" s="13">
        <f t="shared" si="3"/>
        <v>158399</v>
      </c>
      <c r="Q117" s="14">
        <f>ROUND(IF(F117&lt;500,VLOOKUP(G117,'[1]Price Components'!B:G,5,0),VLOOKUP(G117,'[1]Price Components'!B:G,6,0)),2)</f>
        <v>1442</v>
      </c>
      <c r="R117" s="11">
        <f t="shared" si="4"/>
        <v>8617</v>
      </c>
      <c r="S117" s="13">
        <v>0</v>
      </c>
      <c r="T117" s="11">
        <f t="shared" si="5"/>
        <v>8617</v>
      </c>
      <c r="U117" s="11">
        <v>292</v>
      </c>
      <c r="V117" s="13">
        <f t="shared" si="6"/>
        <v>8909</v>
      </c>
      <c r="W117" s="13">
        <f t="shared" si="7"/>
        <v>202751</v>
      </c>
      <c r="X117" s="13">
        <f t="shared" si="8"/>
        <v>168750</v>
      </c>
      <c r="Y117" s="13">
        <f t="shared" si="9"/>
        <v>47250</v>
      </c>
      <c r="Z117" s="11">
        <v>0</v>
      </c>
      <c r="AA117" s="13">
        <f t="shared" si="38"/>
        <v>216000</v>
      </c>
      <c r="AB117" s="13" t="str">
        <f t="shared" si="11"/>
        <v>C</v>
      </c>
      <c r="AC117" s="15">
        <f>IF(AB117="A",VLOOKUP($G117,'[1]Price Components'!$B:$AC,7,0),IF(AB117="B",VLOOKUP($G117,'[1]Price Components'!$B:$AC,8,0),IF(AB117="C",VLOOKUP($G117,'[1]Price Components'!$B:$AC,9,0),IF(AB117="E",15%,IF(AB117="D",VLOOKUP($G117,'[1]Price Components'!$B:$AC,10,0))))))</f>
        <v>0.05</v>
      </c>
      <c r="AD117" s="13">
        <f>ROUND(IF(AC117=0,VLOOKUP($G117,'[1]Price Components'!$B:$AC,11,0),IF(I117="BASIC",X117*AC117,AA117*AC117)),0)</f>
        <v>8438</v>
      </c>
      <c r="AE117" s="13">
        <f>ROUND(VLOOKUP($G117,'[1]Price Components'!$B:$AC,12,0),0)</f>
        <v>300</v>
      </c>
      <c r="AF117" s="16">
        <f>VLOOKUP($G117,'[1]Price Components'!$B:$AC,14,0)</f>
        <v>7.92E-3</v>
      </c>
      <c r="AG117" s="16">
        <f>VLOOKUP($G117,'[1]Price Components'!$B:$AC,15,0)</f>
        <v>8.2979999999999998E-3</v>
      </c>
      <c r="AH117" s="13">
        <f t="shared" si="12"/>
        <v>1625</v>
      </c>
      <c r="AI117" s="13">
        <f t="shared" si="13"/>
        <v>7740</v>
      </c>
      <c r="AJ117" s="13">
        <f t="shared" si="14"/>
        <v>1686</v>
      </c>
      <c r="AK117" s="13">
        <f t="shared" si="15"/>
        <v>11051</v>
      </c>
      <c r="AL117" s="13">
        <f t="shared" si="16"/>
        <v>235789</v>
      </c>
      <c r="AM117" s="17"/>
      <c r="AN117" s="18">
        <v>216000</v>
      </c>
      <c r="AO117" s="18">
        <f t="shared" si="17"/>
        <v>0</v>
      </c>
      <c r="AP117" s="18"/>
    </row>
    <row r="118" spans="1:42" ht="15.75" customHeight="1" x14ac:dyDescent="0.3">
      <c r="A118" s="7"/>
      <c r="B118" s="7"/>
      <c r="C118" s="7" t="str">
        <f t="shared" si="0"/>
        <v>VBFV60GM17</v>
      </c>
      <c r="D118" s="7" t="s">
        <v>42</v>
      </c>
      <c r="E118" s="7"/>
      <c r="F118" s="8">
        <v>350</v>
      </c>
      <c r="G118" s="9" t="s">
        <v>60</v>
      </c>
      <c r="H118" s="7" t="str">
        <f>VLOOKUP(G118,'[1]Price Components'!B:C,2,0)</f>
        <v>Nagaland</v>
      </c>
      <c r="I118" s="7" t="str">
        <f>VLOOKUP(G118,'[1]Price Components'!B:D,3,0)</f>
        <v>BASIC</v>
      </c>
      <c r="J118" s="10">
        <f t="shared" si="1"/>
        <v>4.2501632857832511E-2</v>
      </c>
      <c r="K118" s="11">
        <v>163052</v>
      </c>
      <c r="L118" s="12">
        <f t="shared" si="2"/>
        <v>-323.88014372391626</v>
      </c>
      <c r="M118" s="11">
        <v>162728.11985627608</v>
      </c>
      <c r="N118" s="8">
        <v>1279</v>
      </c>
      <c r="O118" s="13">
        <f>VLOOKUP(G118,'[1]Price Components'!B:E,4,0)</f>
        <v>1060</v>
      </c>
      <c r="P118" s="13">
        <f t="shared" si="3"/>
        <v>165067</v>
      </c>
      <c r="Q118" s="14">
        <f>ROUND(IF(F118&lt;500,VLOOKUP(G118,'[1]Price Components'!B:G,5,0),VLOOKUP(G118,'[1]Price Components'!B:G,6,0)),2)</f>
        <v>1442</v>
      </c>
      <c r="R118" s="11">
        <f t="shared" si="4"/>
        <v>8980</v>
      </c>
      <c r="S118" s="13">
        <v>0</v>
      </c>
      <c r="T118" s="11">
        <f t="shared" si="5"/>
        <v>8980</v>
      </c>
      <c r="U118" s="11">
        <v>292</v>
      </c>
      <c r="V118" s="13">
        <f t="shared" si="6"/>
        <v>9272</v>
      </c>
      <c r="W118" s="13">
        <f t="shared" si="7"/>
        <v>211286</v>
      </c>
      <c r="X118" s="13">
        <f t="shared" si="8"/>
        <v>175781</v>
      </c>
      <c r="Y118" s="13">
        <f t="shared" si="9"/>
        <v>49219</v>
      </c>
      <c r="Z118" s="11">
        <v>0</v>
      </c>
      <c r="AA118" s="13">
        <f t="shared" si="38"/>
        <v>225000</v>
      </c>
      <c r="AB118" s="13" t="str">
        <f t="shared" si="11"/>
        <v>C</v>
      </c>
      <c r="AC118" s="15">
        <f>IF(AB118="A",VLOOKUP($G118,'[1]Price Components'!$B:$AC,7,0),IF(AB118="B",VLOOKUP($G118,'[1]Price Components'!$B:$AC,8,0),IF(AB118="C",VLOOKUP($G118,'[1]Price Components'!$B:$AC,9,0),IF(AB118="E",15%,IF(AB118="D",VLOOKUP($G118,'[1]Price Components'!$B:$AC,10,0))))))</f>
        <v>0.05</v>
      </c>
      <c r="AD118" s="13">
        <f>ROUND(IF(AC118=0,VLOOKUP($G118,'[1]Price Components'!$B:$AC,11,0),IF(I118="BASIC",X118*AC118,AA118*AC118)),0)</f>
        <v>8789</v>
      </c>
      <c r="AE118" s="13">
        <f>ROUND(VLOOKUP($G118,'[1]Price Components'!$B:$AC,12,0),0)</f>
        <v>300</v>
      </c>
      <c r="AF118" s="16">
        <f>VLOOKUP($G118,'[1]Price Components'!$B:$AC,14,0)</f>
        <v>7.92E-3</v>
      </c>
      <c r="AG118" s="16">
        <f>VLOOKUP($G118,'[1]Price Components'!$B:$AC,15,0)</f>
        <v>8.2979999999999998E-3</v>
      </c>
      <c r="AH118" s="13">
        <f t="shared" si="12"/>
        <v>1693</v>
      </c>
      <c r="AI118" s="13">
        <f t="shared" si="13"/>
        <v>7740</v>
      </c>
      <c r="AJ118" s="13">
        <f t="shared" si="14"/>
        <v>1698</v>
      </c>
      <c r="AK118" s="13">
        <f t="shared" si="15"/>
        <v>11131</v>
      </c>
      <c r="AL118" s="13">
        <f t="shared" si="16"/>
        <v>245220</v>
      </c>
      <c r="AM118" s="17"/>
      <c r="AN118" s="18">
        <v>225000</v>
      </c>
      <c r="AO118" s="18">
        <f t="shared" si="17"/>
        <v>0</v>
      </c>
      <c r="AP118" s="18"/>
    </row>
    <row r="119" spans="1:42" ht="15.75" customHeight="1" x14ac:dyDescent="0.3">
      <c r="A119" s="7"/>
      <c r="B119" s="7"/>
      <c r="C119" s="7" t="str">
        <f t="shared" si="0"/>
        <v>VBFV60SB17</v>
      </c>
      <c r="D119" s="7" t="s">
        <v>43</v>
      </c>
      <c r="E119" s="7"/>
      <c r="F119" s="8">
        <v>350</v>
      </c>
      <c r="G119" s="9" t="s">
        <v>60</v>
      </c>
      <c r="H119" s="7" t="str">
        <f>VLOOKUP(G119,'[1]Price Components'!B:C,2,0)</f>
        <v>Nagaland</v>
      </c>
      <c r="I119" s="7" t="str">
        <f>VLOOKUP(G119,'[1]Price Components'!B:D,3,0)</f>
        <v>BASIC</v>
      </c>
      <c r="J119" s="10">
        <f t="shared" si="1"/>
        <v>4.2501632857832511E-2</v>
      </c>
      <c r="K119" s="11">
        <v>163052</v>
      </c>
      <c r="L119" s="12">
        <f t="shared" si="2"/>
        <v>-323.88014372391626</v>
      </c>
      <c r="M119" s="11">
        <v>162728.11985627608</v>
      </c>
      <c r="N119" s="8">
        <v>1279</v>
      </c>
      <c r="O119" s="13">
        <f>VLOOKUP(G119,'[1]Price Components'!B:E,4,0)</f>
        <v>1060</v>
      </c>
      <c r="P119" s="13">
        <f t="shared" si="3"/>
        <v>165067</v>
      </c>
      <c r="Q119" s="14">
        <f>ROUND(IF(F119&lt;500,VLOOKUP(G119,'[1]Price Components'!B:G,5,0),VLOOKUP(G119,'[1]Price Components'!B:G,6,0)),2)</f>
        <v>1442</v>
      </c>
      <c r="R119" s="11">
        <f t="shared" si="4"/>
        <v>8980</v>
      </c>
      <c r="S119" s="13">
        <v>0</v>
      </c>
      <c r="T119" s="11">
        <f t="shared" si="5"/>
        <v>8980</v>
      </c>
      <c r="U119" s="11">
        <v>292</v>
      </c>
      <c r="V119" s="13">
        <f t="shared" si="6"/>
        <v>9272</v>
      </c>
      <c r="W119" s="13">
        <f t="shared" si="7"/>
        <v>211286</v>
      </c>
      <c r="X119" s="13">
        <f t="shared" si="8"/>
        <v>175781</v>
      </c>
      <c r="Y119" s="13">
        <f t="shared" si="9"/>
        <v>49219</v>
      </c>
      <c r="Z119" s="11">
        <v>0</v>
      </c>
      <c r="AA119" s="13">
        <f t="shared" si="38"/>
        <v>225000</v>
      </c>
      <c r="AB119" s="13" t="str">
        <f t="shared" si="11"/>
        <v>C</v>
      </c>
      <c r="AC119" s="15">
        <f>IF(AB119="A",VLOOKUP($G119,'[1]Price Components'!$B:$AC,7,0),IF(AB119="B",VLOOKUP($G119,'[1]Price Components'!$B:$AC,8,0),IF(AB119="C",VLOOKUP($G119,'[1]Price Components'!$B:$AC,9,0),IF(AB119="E",15%,IF(AB119="D",VLOOKUP($G119,'[1]Price Components'!$B:$AC,10,0))))))</f>
        <v>0.05</v>
      </c>
      <c r="AD119" s="13">
        <f>ROUND(IF(AC119=0,VLOOKUP($G119,'[1]Price Components'!$B:$AC,11,0),IF(I119="BASIC",X119*AC119,AA119*AC119)),0)</f>
        <v>8789</v>
      </c>
      <c r="AE119" s="13">
        <f>ROUND(VLOOKUP($G119,'[1]Price Components'!$B:$AC,12,0),0)</f>
        <v>300</v>
      </c>
      <c r="AF119" s="16">
        <f>VLOOKUP($G119,'[1]Price Components'!$B:$AC,14,0)</f>
        <v>7.92E-3</v>
      </c>
      <c r="AG119" s="16">
        <f>VLOOKUP($G119,'[1]Price Components'!$B:$AC,15,0)</f>
        <v>8.2979999999999998E-3</v>
      </c>
      <c r="AH119" s="13">
        <f t="shared" si="12"/>
        <v>1693</v>
      </c>
      <c r="AI119" s="13">
        <f t="shared" si="13"/>
        <v>7740</v>
      </c>
      <c r="AJ119" s="13">
        <f t="shared" si="14"/>
        <v>1698</v>
      </c>
      <c r="AK119" s="13">
        <f t="shared" si="15"/>
        <v>11131</v>
      </c>
      <c r="AL119" s="13">
        <f t="shared" si="16"/>
        <v>245220</v>
      </c>
      <c r="AM119" s="17"/>
      <c r="AN119" s="18">
        <v>225000</v>
      </c>
      <c r="AO119" s="18">
        <f t="shared" si="17"/>
        <v>0</v>
      </c>
      <c r="AP119" s="18"/>
    </row>
    <row r="120" spans="1:42" ht="15.75" customHeight="1" x14ac:dyDescent="0.3">
      <c r="A120" s="7"/>
      <c r="B120" s="7"/>
      <c r="C120" s="7" t="str">
        <f t="shared" si="0"/>
        <v>VBFV60DN17</v>
      </c>
      <c r="D120" s="7" t="s">
        <v>44</v>
      </c>
      <c r="E120" s="7"/>
      <c r="F120" s="8">
        <v>350</v>
      </c>
      <c r="G120" s="9" t="s">
        <v>60</v>
      </c>
      <c r="H120" s="7" t="str">
        <f>VLOOKUP(G120,'[1]Price Components'!B:C,2,0)</f>
        <v>Nagaland</v>
      </c>
      <c r="I120" s="7" t="str">
        <f>VLOOKUP(G120,'[1]Price Components'!B:D,3,0)</f>
        <v>BASIC</v>
      </c>
      <c r="J120" s="10">
        <f t="shared" si="1"/>
        <v>4.2499120484381654E-2</v>
      </c>
      <c r="K120" s="11">
        <v>166757</v>
      </c>
      <c r="L120" s="12">
        <f t="shared" si="2"/>
        <v>-323.73580994238728</v>
      </c>
      <c r="M120" s="11">
        <v>166433.26419005761</v>
      </c>
      <c r="N120" s="8">
        <v>1279</v>
      </c>
      <c r="O120" s="13">
        <f>VLOOKUP(G120,'[1]Price Components'!B:E,4,0)</f>
        <v>1060</v>
      </c>
      <c r="P120" s="13">
        <f t="shared" si="3"/>
        <v>168772</v>
      </c>
      <c r="Q120" s="14">
        <f>ROUND(IF(F120&lt;500,VLOOKUP(G120,'[1]Price Components'!B:G,5,0),VLOOKUP(G120,'[1]Price Components'!B:G,6,0)),2)</f>
        <v>1442</v>
      </c>
      <c r="R120" s="11">
        <f t="shared" si="4"/>
        <v>9181</v>
      </c>
      <c r="S120" s="13">
        <v>0</v>
      </c>
      <c r="T120" s="11">
        <f t="shared" si="5"/>
        <v>9181</v>
      </c>
      <c r="U120" s="11">
        <v>292</v>
      </c>
      <c r="V120" s="13">
        <f t="shared" si="6"/>
        <v>9473</v>
      </c>
      <c r="W120" s="13">
        <f t="shared" si="7"/>
        <v>216028</v>
      </c>
      <c r="X120" s="13">
        <f t="shared" si="8"/>
        <v>179687</v>
      </c>
      <c r="Y120" s="13">
        <f t="shared" si="9"/>
        <v>50312</v>
      </c>
      <c r="Z120" s="11">
        <v>0</v>
      </c>
      <c r="AA120" s="13">
        <f t="shared" ref="AA120:AA121" si="39">ROUND(X120+Y120+Z120,0)+1</f>
        <v>230000</v>
      </c>
      <c r="AB120" s="13" t="str">
        <f t="shared" si="11"/>
        <v>C</v>
      </c>
      <c r="AC120" s="15">
        <f>IF(AB120="A",VLOOKUP($G120,'[1]Price Components'!$B:$AC,7,0),IF(AB120="B",VLOOKUP($G120,'[1]Price Components'!$B:$AC,8,0),IF(AB120="C",VLOOKUP($G120,'[1]Price Components'!$B:$AC,9,0),IF(AB120="E",15%,IF(AB120="D",VLOOKUP($G120,'[1]Price Components'!$B:$AC,10,0))))))</f>
        <v>0.05</v>
      </c>
      <c r="AD120" s="13">
        <f>ROUND(IF(AC120=0,VLOOKUP($G120,'[1]Price Components'!$B:$AC,11,0),IF(I120="BASIC",X120*AC120,AA120*AC120)),0)</f>
        <v>8984</v>
      </c>
      <c r="AE120" s="13">
        <f>ROUND(VLOOKUP($G120,'[1]Price Components'!$B:$AC,12,0),0)</f>
        <v>300</v>
      </c>
      <c r="AF120" s="16">
        <f>VLOOKUP($G120,'[1]Price Components'!$B:$AC,14,0)</f>
        <v>7.92E-3</v>
      </c>
      <c r="AG120" s="16">
        <f>VLOOKUP($G120,'[1]Price Components'!$B:$AC,15,0)</f>
        <v>8.2979999999999998E-3</v>
      </c>
      <c r="AH120" s="13">
        <f t="shared" si="12"/>
        <v>1731</v>
      </c>
      <c r="AI120" s="13">
        <f t="shared" si="13"/>
        <v>7740</v>
      </c>
      <c r="AJ120" s="13">
        <f t="shared" si="14"/>
        <v>1705</v>
      </c>
      <c r="AK120" s="13">
        <f t="shared" si="15"/>
        <v>11176</v>
      </c>
      <c r="AL120" s="13">
        <f t="shared" si="16"/>
        <v>250460</v>
      </c>
      <c r="AM120" s="17"/>
      <c r="AN120" s="18">
        <v>230000</v>
      </c>
      <c r="AO120" s="18">
        <f t="shared" si="17"/>
        <v>0</v>
      </c>
      <c r="AP120" s="18"/>
    </row>
    <row r="121" spans="1:42" ht="15.75" customHeight="1" x14ac:dyDescent="0.3">
      <c r="A121" s="7"/>
      <c r="B121" s="7"/>
      <c r="C121" s="7" t="str">
        <f t="shared" si="0"/>
        <v>VBFV60DN18</v>
      </c>
      <c r="D121" s="7" t="s">
        <v>44</v>
      </c>
      <c r="E121" s="7"/>
      <c r="F121" s="8">
        <v>350</v>
      </c>
      <c r="G121" s="9" t="s">
        <v>61</v>
      </c>
      <c r="H121" s="7" t="str">
        <f>VLOOKUP(G121,'[1]Price Components'!B:C,2,0)</f>
        <v>Orissa</v>
      </c>
      <c r="I121" s="7" t="str">
        <f>VLOOKUP(G121,'[1]Price Components'!B:D,3,0)</f>
        <v>EX-SHOWROOM</v>
      </c>
      <c r="J121" s="10">
        <f t="shared" si="1"/>
        <v>4.2499246795986004E-2</v>
      </c>
      <c r="K121" s="11">
        <v>166757</v>
      </c>
      <c r="L121" s="12">
        <f t="shared" si="2"/>
        <v>-535.45276737163658</v>
      </c>
      <c r="M121" s="11">
        <v>166221.54723262836</v>
      </c>
      <c r="N121" s="8">
        <v>1279</v>
      </c>
      <c r="O121" s="13">
        <f>VLOOKUP(G121,'[1]Price Components'!B:E,4,0)</f>
        <v>1050</v>
      </c>
      <c r="P121" s="13">
        <f t="shared" si="3"/>
        <v>168551</v>
      </c>
      <c r="Q121" s="14">
        <f>ROUND(IF(F121&lt;500,VLOOKUP(G121,'[1]Price Components'!B:G,5,0),VLOOKUP(G121,'[1]Price Components'!B:G,6,0)),2)</f>
        <v>1674.5</v>
      </c>
      <c r="R121" s="11">
        <f t="shared" si="4"/>
        <v>9169</v>
      </c>
      <c r="S121" s="13">
        <v>0</v>
      </c>
      <c r="T121" s="11">
        <f t="shared" si="5"/>
        <v>9169</v>
      </c>
      <c r="U121" s="11">
        <v>292</v>
      </c>
      <c r="V121" s="13">
        <f t="shared" si="6"/>
        <v>9461</v>
      </c>
      <c r="W121" s="13">
        <f t="shared" si="7"/>
        <v>215745</v>
      </c>
      <c r="X121" s="13">
        <f t="shared" si="8"/>
        <v>179686.5</v>
      </c>
      <c r="Y121" s="13">
        <f t="shared" si="9"/>
        <v>50312</v>
      </c>
      <c r="Z121" s="11">
        <v>0</v>
      </c>
      <c r="AA121" s="13">
        <f t="shared" si="39"/>
        <v>230000</v>
      </c>
      <c r="AB121" s="13" t="str">
        <f t="shared" si="11"/>
        <v>C</v>
      </c>
      <c r="AC121" s="15">
        <f>IF(AB121="A",VLOOKUP($G121,'[1]Price Components'!$B:$AC,7,0),IF(AB121="B",VLOOKUP($G121,'[1]Price Components'!$B:$AC,8,0),IF(AB121="C",VLOOKUP($G121,'[1]Price Components'!$B:$AC,9,0),IF(AB121="E",15%,IF(AB121="D",VLOOKUP($G121,'[1]Price Components'!$B:$AC,10,0))))))</f>
        <v>0.06</v>
      </c>
      <c r="AD121" s="13">
        <f>ROUND(IF(AC121=0,VLOOKUP($G121,'[1]Price Components'!$B:$AC,11,0),IF(I121="BASIC",X121*AC121,AA121*AC121)),0)</f>
        <v>13800</v>
      </c>
      <c r="AE121" s="13">
        <f>ROUND(VLOOKUP($G121,'[1]Price Components'!$B:$AC,12,0),0)</f>
        <v>708</v>
      </c>
      <c r="AF121" s="16">
        <f>VLOOKUP($G121,'[1]Price Components'!$B:$AC,14,0)</f>
        <v>7.92E-3</v>
      </c>
      <c r="AG121" s="16">
        <f>VLOOKUP($G121,'[1]Price Components'!$B:$AC,15,0)</f>
        <v>8.2979999999999998E-3</v>
      </c>
      <c r="AH121" s="13">
        <f t="shared" si="12"/>
        <v>1731</v>
      </c>
      <c r="AI121" s="13">
        <f t="shared" si="13"/>
        <v>7740</v>
      </c>
      <c r="AJ121" s="13">
        <f t="shared" si="14"/>
        <v>1705</v>
      </c>
      <c r="AK121" s="13">
        <f t="shared" si="15"/>
        <v>11176</v>
      </c>
      <c r="AL121" s="13">
        <f t="shared" si="16"/>
        <v>255684</v>
      </c>
      <c r="AM121" s="17"/>
      <c r="AN121" s="18">
        <f>230000</f>
        <v>230000</v>
      </c>
      <c r="AO121" s="18">
        <f t="shared" si="17"/>
        <v>0</v>
      </c>
      <c r="AP121" s="18"/>
    </row>
    <row r="122" spans="1:42" ht="15.75" customHeight="1" x14ac:dyDescent="0.3">
      <c r="A122" s="7"/>
      <c r="B122" s="7"/>
      <c r="C122" s="7" t="str">
        <f t="shared" si="0"/>
        <v>VBFV60RR18</v>
      </c>
      <c r="D122" s="7" t="s">
        <v>37</v>
      </c>
      <c r="E122" s="7"/>
      <c r="F122" s="8">
        <v>350</v>
      </c>
      <c r="G122" s="9" t="s">
        <v>61</v>
      </c>
      <c r="H122" s="7" t="str">
        <f>VLOOKUP(G122,'[1]Price Components'!B:C,2,0)</f>
        <v>Orissa</v>
      </c>
      <c r="I122" s="7" t="str">
        <f>VLOOKUP(G122,'[1]Price Components'!B:D,3,0)</f>
        <v>EX-SHOWROOM</v>
      </c>
      <c r="J122" s="10">
        <f t="shared" si="1"/>
        <v>4.2500802911893801E-2</v>
      </c>
      <c r="K122" s="11">
        <v>144158</v>
      </c>
      <c r="L122" s="12">
        <f t="shared" si="2"/>
        <v>-533.83633460613783</v>
      </c>
      <c r="M122" s="11">
        <v>143624.16366539386</v>
      </c>
      <c r="N122" s="8">
        <v>1279</v>
      </c>
      <c r="O122" s="13">
        <f>VLOOKUP(G122,'[1]Price Components'!B:E,4,0)</f>
        <v>1050</v>
      </c>
      <c r="P122" s="13">
        <f t="shared" si="3"/>
        <v>145953</v>
      </c>
      <c r="Q122" s="14">
        <f>ROUND(IF(F122&lt;500,VLOOKUP(G122,'[1]Price Components'!B:G,5,0),VLOOKUP(G122,'[1]Price Components'!B:G,6,0)),2)</f>
        <v>1674.5</v>
      </c>
      <c r="R122" s="11">
        <f t="shared" si="4"/>
        <v>7940</v>
      </c>
      <c r="S122" s="13">
        <v>0</v>
      </c>
      <c r="T122" s="11">
        <f t="shared" si="5"/>
        <v>7940</v>
      </c>
      <c r="U122" s="11">
        <v>292</v>
      </c>
      <c r="V122" s="13">
        <f t="shared" si="6"/>
        <v>8232</v>
      </c>
      <c r="W122" s="13">
        <f t="shared" si="7"/>
        <v>186820</v>
      </c>
      <c r="X122" s="13">
        <f t="shared" si="8"/>
        <v>155859.5</v>
      </c>
      <c r="Y122" s="13">
        <f t="shared" si="9"/>
        <v>43641</v>
      </c>
      <c r="Z122" s="11">
        <v>0</v>
      </c>
      <c r="AA122" s="13">
        <f t="shared" ref="AA122:AA123" si="40">ROUND(X122+Y122+Z122,0)-1</f>
        <v>199500</v>
      </c>
      <c r="AB122" s="13" t="str">
        <f t="shared" si="11"/>
        <v>B</v>
      </c>
      <c r="AC122" s="15">
        <f>IF(AB122="A",VLOOKUP($G122,'[1]Price Components'!$B:$AC,7,0),IF(AB122="B",VLOOKUP($G122,'[1]Price Components'!$B:$AC,8,0),IF(AB122="C",VLOOKUP($G122,'[1]Price Components'!$B:$AC,9,0),IF(AB122="E",15%,IF(AB122="D",VLOOKUP($G122,'[1]Price Components'!$B:$AC,10,0))))))</f>
        <v>0.06</v>
      </c>
      <c r="AD122" s="13">
        <f>ROUND(IF(AC122=0,VLOOKUP($G122,'[1]Price Components'!$B:$AC,11,0),IF(I122="BASIC",X122*AC122,AA122*AC122)),0)</f>
        <v>11970</v>
      </c>
      <c r="AE122" s="13">
        <f>ROUND(VLOOKUP($G122,'[1]Price Components'!$B:$AC,12,0),0)</f>
        <v>708</v>
      </c>
      <c r="AF122" s="16">
        <f>VLOOKUP($G122,'[1]Price Components'!$B:$AC,14,0)</f>
        <v>7.92E-3</v>
      </c>
      <c r="AG122" s="16">
        <f>VLOOKUP($G122,'[1]Price Components'!$B:$AC,15,0)</f>
        <v>8.2979999999999998E-3</v>
      </c>
      <c r="AH122" s="13">
        <f t="shared" si="12"/>
        <v>1501</v>
      </c>
      <c r="AI122" s="13">
        <f t="shared" si="13"/>
        <v>7740</v>
      </c>
      <c r="AJ122" s="13">
        <f t="shared" si="14"/>
        <v>1663</v>
      </c>
      <c r="AK122" s="13">
        <f t="shared" si="15"/>
        <v>10904</v>
      </c>
      <c r="AL122" s="13">
        <f t="shared" si="16"/>
        <v>223082</v>
      </c>
      <c r="AM122" s="17"/>
      <c r="AN122" s="18">
        <v>199500</v>
      </c>
      <c r="AO122" s="18">
        <f t="shared" si="17"/>
        <v>0</v>
      </c>
      <c r="AP122" s="18"/>
    </row>
    <row r="123" spans="1:42" ht="15.75" customHeight="1" x14ac:dyDescent="0.3">
      <c r="A123" s="7"/>
      <c r="B123" s="7"/>
      <c r="C123" s="7" t="str">
        <f t="shared" si="0"/>
        <v>VBFV60EB18</v>
      </c>
      <c r="D123" s="7" t="s">
        <v>39</v>
      </c>
      <c r="E123" s="7"/>
      <c r="F123" s="8">
        <v>350</v>
      </c>
      <c r="G123" s="9" t="s">
        <v>61</v>
      </c>
      <c r="H123" s="7" t="str">
        <f>VLOOKUP(G123,'[1]Price Components'!B:C,2,0)</f>
        <v>Orissa</v>
      </c>
      <c r="I123" s="7" t="str">
        <f>VLOOKUP(G123,'[1]Price Components'!B:D,3,0)</f>
        <v>EX-SHOWROOM</v>
      </c>
      <c r="J123" s="10">
        <f t="shared" si="1"/>
        <v>4.2500802911893801E-2</v>
      </c>
      <c r="K123" s="11">
        <v>144158</v>
      </c>
      <c r="L123" s="12">
        <f t="shared" si="2"/>
        <v>-533.83633460613783</v>
      </c>
      <c r="M123" s="11">
        <v>143624.16366539386</v>
      </c>
      <c r="N123" s="8">
        <v>1279</v>
      </c>
      <c r="O123" s="13">
        <f>VLOOKUP(G123,'[1]Price Components'!B:E,4,0)</f>
        <v>1050</v>
      </c>
      <c r="P123" s="13">
        <f t="shared" si="3"/>
        <v>145953</v>
      </c>
      <c r="Q123" s="14">
        <f>ROUND(IF(F123&lt;500,VLOOKUP(G123,'[1]Price Components'!B:G,5,0),VLOOKUP(G123,'[1]Price Components'!B:G,6,0)),2)</f>
        <v>1674.5</v>
      </c>
      <c r="R123" s="11">
        <f t="shared" si="4"/>
        <v>7940</v>
      </c>
      <c r="S123" s="13">
        <v>0</v>
      </c>
      <c r="T123" s="11">
        <f t="shared" si="5"/>
        <v>7940</v>
      </c>
      <c r="U123" s="11">
        <v>292</v>
      </c>
      <c r="V123" s="13">
        <f t="shared" si="6"/>
        <v>8232</v>
      </c>
      <c r="W123" s="13">
        <f t="shared" si="7"/>
        <v>186820</v>
      </c>
      <c r="X123" s="13">
        <f t="shared" si="8"/>
        <v>155859.5</v>
      </c>
      <c r="Y123" s="13">
        <f t="shared" si="9"/>
        <v>43641</v>
      </c>
      <c r="Z123" s="11">
        <v>0</v>
      </c>
      <c r="AA123" s="13">
        <f t="shared" si="40"/>
        <v>199500</v>
      </c>
      <c r="AB123" s="13" t="str">
        <f t="shared" si="11"/>
        <v>B</v>
      </c>
      <c r="AC123" s="15">
        <f>IF(AB123="A",VLOOKUP($G123,'[1]Price Components'!$B:$AC,7,0),IF(AB123="B",VLOOKUP($G123,'[1]Price Components'!$B:$AC,8,0),IF(AB123="C",VLOOKUP($G123,'[1]Price Components'!$B:$AC,9,0),IF(AB123="E",15%,IF(AB123="D",VLOOKUP($G123,'[1]Price Components'!$B:$AC,10,0))))))</f>
        <v>0.06</v>
      </c>
      <c r="AD123" s="13">
        <f>ROUND(IF(AC123=0,VLOOKUP($G123,'[1]Price Components'!$B:$AC,11,0),IF(I123="BASIC",X123*AC123,AA123*AC123)),0)</f>
        <v>11970</v>
      </c>
      <c r="AE123" s="13">
        <f>ROUND(VLOOKUP($G123,'[1]Price Components'!$B:$AC,12,0),0)</f>
        <v>708</v>
      </c>
      <c r="AF123" s="16">
        <f>VLOOKUP($G123,'[1]Price Components'!$B:$AC,14,0)</f>
        <v>7.92E-3</v>
      </c>
      <c r="AG123" s="16">
        <f>VLOOKUP($G123,'[1]Price Components'!$B:$AC,15,0)</f>
        <v>8.2979999999999998E-3</v>
      </c>
      <c r="AH123" s="13">
        <f t="shared" si="12"/>
        <v>1501</v>
      </c>
      <c r="AI123" s="13">
        <f t="shared" si="13"/>
        <v>7740</v>
      </c>
      <c r="AJ123" s="13">
        <f t="shared" si="14"/>
        <v>1663</v>
      </c>
      <c r="AK123" s="13">
        <f t="shared" si="15"/>
        <v>10904</v>
      </c>
      <c r="AL123" s="13">
        <f t="shared" si="16"/>
        <v>223082</v>
      </c>
      <c r="AM123" s="17"/>
      <c r="AN123" s="18">
        <v>199500</v>
      </c>
      <c r="AO123" s="18">
        <f t="shared" si="17"/>
        <v>0</v>
      </c>
      <c r="AP123" s="18"/>
    </row>
    <row r="124" spans="1:42" ht="15.75" customHeight="1" x14ac:dyDescent="0.3">
      <c r="A124" s="7"/>
      <c r="B124" s="7"/>
      <c r="C124" s="7" t="str">
        <f t="shared" si="0"/>
        <v>VBFV60HG18</v>
      </c>
      <c r="D124" s="7" t="s">
        <v>40</v>
      </c>
      <c r="E124" s="7"/>
      <c r="F124" s="8">
        <v>350</v>
      </c>
      <c r="G124" s="9" t="s">
        <v>61</v>
      </c>
      <c r="H124" s="7" t="str">
        <f>VLOOKUP(G124,'[1]Price Components'!B:C,2,0)</f>
        <v>Orissa</v>
      </c>
      <c r="I124" s="7" t="str">
        <f>VLOOKUP(G124,'[1]Price Components'!B:D,3,0)</f>
        <v>EX-SHOWROOM</v>
      </c>
      <c r="J124" s="10">
        <f t="shared" si="1"/>
        <v>4.2498966439370546E-2</v>
      </c>
      <c r="K124" s="11">
        <v>147492</v>
      </c>
      <c r="L124" s="12">
        <f t="shared" si="2"/>
        <v>-534.1121647413529</v>
      </c>
      <c r="M124" s="11">
        <v>146957.88783525865</v>
      </c>
      <c r="N124" s="8">
        <v>1279</v>
      </c>
      <c r="O124" s="13">
        <f>VLOOKUP(G124,'[1]Price Components'!B:E,4,0)</f>
        <v>1050</v>
      </c>
      <c r="P124" s="13">
        <f t="shared" si="3"/>
        <v>149287</v>
      </c>
      <c r="Q124" s="14">
        <f>ROUND(IF(F124&lt;500,VLOOKUP(G124,'[1]Price Components'!B:G,5,0),VLOOKUP(G124,'[1]Price Components'!B:G,6,0)),2)</f>
        <v>1674.5</v>
      </c>
      <c r="R124" s="11">
        <f t="shared" si="4"/>
        <v>8121</v>
      </c>
      <c r="S124" s="13">
        <v>0</v>
      </c>
      <c r="T124" s="11">
        <f t="shared" si="5"/>
        <v>8121</v>
      </c>
      <c r="U124" s="11">
        <v>292</v>
      </c>
      <c r="V124" s="13">
        <f t="shared" si="6"/>
        <v>8413</v>
      </c>
      <c r="W124" s="13">
        <f t="shared" si="7"/>
        <v>191087</v>
      </c>
      <c r="X124" s="13">
        <f t="shared" si="8"/>
        <v>159374.5</v>
      </c>
      <c r="Y124" s="13">
        <f t="shared" si="9"/>
        <v>44625</v>
      </c>
      <c r="Z124" s="11">
        <v>0</v>
      </c>
      <c r="AA124" s="13">
        <f t="shared" ref="AA124:AA127" si="41">ROUND(X124+Y124+Z124,0)</f>
        <v>204000</v>
      </c>
      <c r="AB124" s="13" t="str">
        <f t="shared" si="11"/>
        <v>C</v>
      </c>
      <c r="AC124" s="15">
        <f>IF(AB124="A",VLOOKUP($G124,'[1]Price Components'!$B:$AC,7,0),IF(AB124="B",VLOOKUP($G124,'[1]Price Components'!$B:$AC,8,0),IF(AB124="C",VLOOKUP($G124,'[1]Price Components'!$B:$AC,9,0),IF(AB124="E",15%,IF(AB124="D",VLOOKUP($G124,'[1]Price Components'!$B:$AC,10,0))))))</f>
        <v>0.06</v>
      </c>
      <c r="AD124" s="13">
        <f>ROUND(IF(AC124=0,VLOOKUP($G124,'[1]Price Components'!$B:$AC,11,0),IF(I124="BASIC",X124*AC124,AA124*AC124)),0)</f>
        <v>12240</v>
      </c>
      <c r="AE124" s="13">
        <f>ROUND(VLOOKUP($G124,'[1]Price Components'!$B:$AC,12,0),0)</f>
        <v>708</v>
      </c>
      <c r="AF124" s="16">
        <f>VLOOKUP($G124,'[1]Price Components'!$B:$AC,14,0)</f>
        <v>7.92E-3</v>
      </c>
      <c r="AG124" s="16">
        <f>VLOOKUP($G124,'[1]Price Components'!$B:$AC,15,0)</f>
        <v>8.2979999999999998E-3</v>
      </c>
      <c r="AH124" s="13">
        <f t="shared" si="12"/>
        <v>1535</v>
      </c>
      <c r="AI124" s="13">
        <f t="shared" si="13"/>
        <v>7740</v>
      </c>
      <c r="AJ124" s="13">
        <f t="shared" si="14"/>
        <v>1670</v>
      </c>
      <c r="AK124" s="13">
        <f t="shared" si="15"/>
        <v>10945</v>
      </c>
      <c r="AL124" s="13">
        <f t="shared" si="16"/>
        <v>227893</v>
      </c>
      <c r="AM124" s="17"/>
      <c r="AN124" s="18">
        <v>204000</v>
      </c>
      <c r="AO124" s="18">
        <f t="shared" si="17"/>
        <v>0</v>
      </c>
      <c r="AP124" s="18"/>
    </row>
    <row r="125" spans="1:42" ht="15.75" customHeight="1" x14ac:dyDescent="0.3">
      <c r="A125" s="7"/>
      <c r="B125" s="7"/>
      <c r="C125" s="7" t="str">
        <f t="shared" si="0"/>
        <v>VBFV60SE18</v>
      </c>
      <c r="D125" s="7" t="s">
        <v>41</v>
      </c>
      <c r="E125" s="7"/>
      <c r="F125" s="8">
        <v>350</v>
      </c>
      <c r="G125" s="9" t="s">
        <v>61</v>
      </c>
      <c r="H125" s="7" t="str">
        <f>VLOOKUP(G125,'[1]Price Components'!B:C,2,0)</f>
        <v>Orissa</v>
      </c>
      <c r="I125" s="7" t="str">
        <f>VLOOKUP(G125,'[1]Price Components'!B:D,3,0)</f>
        <v>EX-SHOWROOM</v>
      </c>
      <c r="J125" s="10">
        <f t="shared" si="1"/>
        <v>4.2500543295730685E-2</v>
      </c>
      <c r="K125" s="11">
        <v>156384</v>
      </c>
      <c r="L125" s="12">
        <f t="shared" si="2"/>
        <v>-534.8614306015952</v>
      </c>
      <c r="M125" s="11">
        <v>155849.1385693984</v>
      </c>
      <c r="N125" s="8">
        <v>1279</v>
      </c>
      <c r="O125" s="13">
        <f>VLOOKUP(G125,'[1]Price Components'!B:E,4,0)</f>
        <v>1050</v>
      </c>
      <c r="P125" s="13">
        <f t="shared" si="3"/>
        <v>158178</v>
      </c>
      <c r="Q125" s="14">
        <f>ROUND(IF(F125&lt;500,VLOOKUP(G125,'[1]Price Components'!B:G,5,0),VLOOKUP(G125,'[1]Price Components'!B:G,6,0)),2)</f>
        <v>1674.5</v>
      </c>
      <c r="R125" s="11">
        <f t="shared" si="4"/>
        <v>8605</v>
      </c>
      <c r="S125" s="13">
        <v>0</v>
      </c>
      <c r="T125" s="11">
        <f t="shared" si="5"/>
        <v>8605</v>
      </c>
      <c r="U125" s="11">
        <v>292</v>
      </c>
      <c r="V125" s="13">
        <f t="shared" si="6"/>
        <v>8897</v>
      </c>
      <c r="W125" s="13">
        <f t="shared" si="7"/>
        <v>202468</v>
      </c>
      <c r="X125" s="13">
        <f t="shared" si="8"/>
        <v>168749.5</v>
      </c>
      <c r="Y125" s="13">
        <f t="shared" si="9"/>
        <v>47250</v>
      </c>
      <c r="Z125" s="11">
        <v>0</v>
      </c>
      <c r="AA125" s="13">
        <f t="shared" si="41"/>
        <v>216000</v>
      </c>
      <c r="AB125" s="13" t="str">
        <f t="shared" si="11"/>
        <v>C</v>
      </c>
      <c r="AC125" s="15">
        <f>IF(AB125="A",VLOOKUP($G125,'[1]Price Components'!$B:$AC,7,0),IF(AB125="B",VLOOKUP($G125,'[1]Price Components'!$B:$AC,8,0),IF(AB125="C",VLOOKUP($G125,'[1]Price Components'!$B:$AC,9,0),IF(AB125="E",15%,IF(AB125="D",VLOOKUP($G125,'[1]Price Components'!$B:$AC,10,0))))))</f>
        <v>0.06</v>
      </c>
      <c r="AD125" s="13">
        <f>ROUND(IF(AC125=0,VLOOKUP($G125,'[1]Price Components'!$B:$AC,11,0),IF(I125="BASIC",X125*AC125,AA125*AC125)),0)</f>
        <v>12960</v>
      </c>
      <c r="AE125" s="13">
        <f>ROUND(VLOOKUP($G125,'[1]Price Components'!$B:$AC,12,0),0)</f>
        <v>708</v>
      </c>
      <c r="AF125" s="16">
        <f>VLOOKUP($G125,'[1]Price Components'!$B:$AC,14,0)</f>
        <v>7.92E-3</v>
      </c>
      <c r="AG125" s="16">
        <f>VLOOKUP($G125,'[1]Price Components'!$B:$AC,15,0)</f>
        <v>8.2979999999999998E-3</v>
      </c>
      <c r="AH125" s="13">
        <f t="shared" si="12"/>
        <v>1625</v>
      </c>
      <c r="AI125" s="13">
        <f t="shared" si="13"/>
        <v>7740</v>
      </c>
      <c r="AJ125" s="13">
        <f t="shared" si="14"/>
        <v>1686</v>
      </c>
      <c r="AK125" s="13">
        <f t="shared" si="15"/>
        <v>11051</v>
      </c>
      <c r="AL125" s="13">
        <f t="shared" si="16"/>
        <v>240719</v>
      </c>
      <c r="AM125" s="17"/>
      <c r="AN125" s="18">
        <v>216000</v>
      </c>
      <c r="AO125" s="18">
        <f t="shared" si="17"/>
        <v>0</v>
      </c>
      <c r="AP125" s="18"/>
    </row>
    <row r="126" spans="1:42" ht="15.75" customHeight="1" x14ac:dyDescent="0.3">
      <c r="A126" s="7"/>
      <c r="B126" s="7"/>
      <c r="C126" s="7" t="str">
        <f t="shared" si="0"/>
        <v>VBFV60GM18</v>
      </c>
      <c r="D126" s="7" t="s">
        <v>42</v>
      </c>
      <c r="E126" s="7"/>
      <c r="F126" s="8">
        <v>350</v>
      </c>
      <c r="G126" s="9" t="s">
        <v>61</v>
      </c>
      <c r="H126" s="7" t="str">
        <f>VLOOKUP(G126,'[1]Price Components'!B:C,2,0)</f>
        <v>Orissa</v>
      </c>
      <c r="I126" s="7" t="str">
        <f>VLOOKUP(G126,'[1]Price Components'!B:D,3,0)</f>
        <v>EX-SHOWROOM</v>
      </c>
      <c r="J126" s="10">
        <f t="shared" si="1"/>
        <v>4.2501765377743445E-2</v>
      </c>
      <c r="K126" s="11">
        <v>163052</v>
      </c>
      <c r="L126" s="12">
        <f t="shared" si="2"/>
        <v>-534.86339801963186</v>
      </c>
      <c r="M126" s="11">
        <v>162517.13660198037</v>
      </c>
      <c r="N126" s="8">
        <v>1279</v>
      </c>
      <c r="O126" s="13">
        <f>VLOOKUP(G126,'[1]Price Components'!B:E,4,0)</f>
        <v>1050</v>
      </c>
      <c r="P126" s="13">
        <f t="shared" si="3"/>
        <v>164846</v>
      </c>
      <c r="Q126" s="14">
        <f>ROUND(IF(F126&lt;500,VLOOKUP(G126,'[1]Price Components'!B:G,5,0),VLOOKUP(G126,'[1]Price Components'!B:G,6,0)),2)</f>
        <v>1674.5</v>
      </c>
      <c r="R126" s="11">
        <f t="shared" si="4"/>
        <v>8968</v>
      </c>
      <c r="S126" s="13">
        <v>0</v>
      </c>
      <c r="T126" s="11">
        <f t="shared" si="5"/>
        <v>8968</v>
      </c>
      <c r="U126" s="11">
        <v>292</v>
      </c>
      <c r="V126" s="13">
        <f t="shared" si="6"/>
        <v>9260</v>
      </c>
      <c r="W126" s="13">
        <f t="shared" si="7"/>
        <v>211003</v>
      </c>
      <c r="X126" s="13">
        <f t="shared" si="8"/>
        <v>175780.5</v>
      </c>
      <c r="Y126" s="13">
        <f t="shared" si="9"/>
        <v>49219</v>
      </c>
      <c r="Z126" s="11">
        <v>0</v>
      </c>
      <c r="AA126" s="13">
        <f t="shared" si="41"/>
        <v>225000</v>
      </c>
      <c r="AB126" s="13" t="str">
        <f t="shared" si="11"/>
        <v>C</v>
      </c>
      <c r="AC126" s="15">
        <f>IF(AB126="A",VLOOKUP($G126,'[1]Price Components'!$B:$AC,7,0),IF(AB126="B",VLOOKUP($G126,'[1]Price Components'!$B:$AC,8,0),IF(AB126="C",VLOOKUP($G126,'[1]Price Components'!$B:$AC,9,0),IF(AB126="E",15%,IF(AB126="D",VLOOKUP($G126,'[1]Price Components'!$B:$AC,10,0))))))</f>
        <v>0.06</v>
      </c>
      <c r="AD126" s="13">
        <f>ROUND(IF(AC126=0,VLOOKUP($G126,'[1]Price Components'!$B:$AC,11,0),IF(I126="BASIC",X126*AC126,AA126*AC126)),0)</f>
        <v>13500</v>
      </c>
      <c r="AE126" s="13">
        <f>ROUND(VLOOKUP($G126,'[1]Price Components'!$B:$AC,12,0),0)</f>
        <v>708</v>
      </c>
      <c r="AF126" s="16">
        <f>VLOOKUP($G126,'[1]Price Components'!$B:$AC,14,0)</f>
        <v>7.92E-3</v>
      </c>
      <c r="AG126" s="16">
        <f>VLOOKUP($G126,'[1]Price Components'!$B:$AC,15,0)</f>
        <v>8.2979999999999998E-3</v>
      </c>
      <c r="AH126" s="13">
        <f t="shared" si="12"/>
        <v>1693</v>
      </c>
      <c r="AI126" s="13">
        <f t="shared" si="13"/>
        <v>7740</v>
      </c>
      <c r="AJ126" s="13">
        <f t="shared" si="14"/>
        <v>1698</v>
      </c>
      <c r="AK126" s="13">
        <f t="shared" si="15"/>
        <v>11131</v>
      </c>
      <c r="AL126" s="13">
        <f t="shared" si="16"/>
        <v>250339</v>
      </c>
      <c r="AM126" s="17"/>
      <c r="AN126" s="18">
        <v>225000</v>
      </c>
      <c r="AO126" s="18">
        <f t="shared" si="17"/>
        <v>0</v>
      </c>
      <c r="AP126" s="18"/>
    </row>
    <row r="127" spans="1:42" ht="15.75" customHeight="1" x14ac:dyDescent="0.3">
      <c r="A127" s="7"/>
      <c r="B127" s="7"/>
      <c r="C127" s="7" t="str">
        <f t="shared" si="0"/>
        <v>VBFV60SB18</v>
      </c>
      <c r="D127" s="7" t="s">
        <v>43</v>
      </c>
      <c r="E127" s="7"/>
      <c r="F127" s="8">
        <v>350</v>
      </c>
      <c r="G127" s="9" t="s">
        <v>61</v>
      </c>
      <c r="H127" s="7" t="str">
        <f>VLOOKUP(G127,'[1]Price Components'!B:C,2,0)</f>
        <v>Orissa</v>
      </c>
      <c r="I127" s="7" t="str">
        <f>VLOOKUP(G127,'[1]Price Components'!B:D,3,0)</f>
        <v>EX-SHOWROOM</v>
      </c>
      <c r="J127" s="10">
        <f t="shared" si="1"/>
        <v>4.2501765377743445E-2</v>
      </c>
      <c r="K127" s="11">
        <v>163052</v>
      </c>
      <c r="L127" s="12">
        <f t="shared" si="2"/>
        <v>-534.86339801963186</v>
      </c>
      <c r="M127" s="11">
        <v>162517.13660198037</v>
      </c>
      <c r="N127" s="8">
        <v>1279</v>
      </c>
      <c r="O127" s="13">
        <f>VLOOKUP(G127,'[1]Price Components'!B:E,4,0)</f>
        <v>1050</v>
      </c>
      <c r="P127" s="13">
        <f t="shared" si="3"/>
        <v>164846</v>
      </c>
      <c r="Q127" s="14">
        <f>ROUND(IF(F127&lt;500,VLOOKUP(G127,'[1]Price Components'!B:G,5,0),VLOOKUP(G127,'[1]Price Components'!B:G,6,0)),2)</f>
        <v>1674.5</v>
      </c>
      <c r="R127" s="11">
        <f t="shared" si="4"/>
        <v>8968</v>
      </c>
      <c r="S127" s="13">
        <v>0</v>
      </c>
      <c r="T127" s="11">
        <f t="shared" si="5"/>
        <v>8968</v>
      </c>
      <c r="U127" s="11">
        <v>292</v>
      </c>
      <c r="V127" s="13">
        <f t="shared" si="6"/>
        <v>9260</v>
      </c>
      <c r="W127" s="13">
        <f t="shared" si="7"/>
        <v>211003</v>
      </c>
      <c r="X127" s="13">
        <f t="shared" si="8"/>
        <v>175780.5</v>
      </c>
      <c r="Y127" s="13">
        <f t="shared" si="9"/>
        <v>49219</v>
      </c>
      <c r="Z127" s="11">
        <v>0</v>
      </c>
      <c r="AA127" s="13">
        <f t="shared" si="41"/>
        <v>225000</v>
      </c>
      <c r="AB127" s="13" t="str">
        <f t="shared" si="11"/>
        <v>C</v>
      </c>
      <c r="AC127" s="15">
        <f>IF(AB127="A",VLOOKUP($G127,'[1]Price Components'!$B:$AC,7,0),IF(AB127="B",VLOOKUP($G127,'[1]Price Components'!$B:$AC,8,0),IF(AB127="C",VLOOKUP($G127,'[1]Price Components'!$B:$AC,9,0),IF(AB127="E",15%,IF(AB127="D",VLOOKUP($G127,'[1]Price Components'!$B:$AC,10,0))))))</f>
        <v>0.06</v>
      </c>
      <c r="AD127" s="13">
        <f>ROUND(IF(AC127=0,VLOOKUP($G127,'[1]Price Components'!$B:$AC,11,0),IF(I127="BASIC",X127*AC127,AA127*AC127)),0)</f>
        <v>13500</v>
      </c>
      <c r="AE127" s="13">
        <f>ROUND(VLOOKUP($G127,'[1]Price Components'!$B:$AC,12,0),0)</f>
        <v>708</v>
      </c>
      <c r="AF127" s="16">
        <f>VLOOKUP($G127,'[1]Price Components'!$B:$AC,14,0)</f>
        <v>7.92E-3</v>
      </c>
      <c r="AG127" s="16">
        <f>VLOOKUP($G127,'[1]Price Components'!$B:$AC,15,0)</f>
        <v>8.2979999999999998E-3</v>
      </c>
      <c r="AH127" s="13">
        <f t="shared" si="12"/>
        <v>1693</v>
      </c>
      <c r="AI127" s="13">
        <f t="shared" si="13"/>
        <v>7740</v>
      </c>
      <c r="AJ127" s="13">
        <f t="shared" si="14"/>
        <v>1698</v>
      </c>
      <c r="AK127" s="13">
        <f t="shared" si="15"/>
        <v>11131</v>
      </c>
      <c r="AL127" s="13">
        <f t="shared" si="16"/>
        <v>250339</v>
      </c>
      <c r="AM127" s="17"/>
      <c r="AN127" s="18">
        <v>225000</v>
      </c>
      <c r="AO127" s="18">
        <f t="shared" si="17"/>
        <v>0</v>
      </c>
      <c r="AP127" s="18"/>
    </row>
    <row r="128" spans="1:42" ht="15.75" customHeight="1" x14ac:dyDescent="0.3">
      <c r="A128" s="7"/>
      <c r="B128" s="7"/>
      <c r="C128" s="7" t="str">
        <f t="shared" si="0"/>
        <v>VBFV60DN19</v>
      </c>
      <c r="D128" s="7" t="s">
        <v>44</v>
      </c>
      <c r="E128" s="7"/>
      <c r="F128" s="8">
        <v>350</v>
      </c>
      <c r="G128" s="9" t="s">
        <v>62</v>
      </c>
      <c r="H128" s="7" t="str">
        <f>VLOOKUP(G128,'[1]Price Components'!B:C,2,0)</f>
        <v>Punjab</v>
      </c>
      <c r="I128" s="7" t="str">
        <f>VLOOKUP(G128,'[1]Price Components'!B:D,3,0)</f>
        <v>Basic</v>
      </c>
      <c r="J128" s="10">
        <f t="shared" si="1"/>
        <v>4.2497976951195691E-2</v>
      </c>
      <c r="K128" s="11">
        <v>166757</v>
      </c>
      <c r="L128" s="12">
        <f t="shared" si="2"/>
        <v>-1259.7876458175306</v>
      </c>
      <c r="M128" s="11">
        <v>165497.21235418247</v>
      </c>
      <c r="N128" s="8">
        <v>1279</v>
      </c>
      <c r="O128" s="13">
        <f>VLOOKUP(G128,'[1]Price Components'!B:E,4,0)</f>
        <v>1210</v>
      </c>
      <c r="P128" s="13">
        <f t="shared" si="3"/>
        <v>167986</v>
      </c>
      <c r="Q128" s="14">
        <f>ROUND(IF(F128&lt;500,VLOOKUP(G128,'[1]Price Components'!B:G,5,0),VLOOKUP(G128,'[1]Price Components'!B:G,6,0)),2)</f>
        <v>2272</v>
      </c>
      <c r="R128" s="11">
        <f t="shared" si="4"/>
        <v>9138</v>
      </c>
      <c r="S128" s="13">
        <v>0</v>
      </c>
      <c r="T128" s="11">
        <f t="shared" si="5"/>
        <v>9138</v>
      </c>
      <c r="U128" s="11">
        <v>292</v>
      </c>
      <c r="V128" s="13">
        <f t="shared" si="6"/>
        <v>9430</v>
      </c>
      <c r="W128" s="13">
        <f t="shared" si="7"/>
        <v>215022</v>
      </c>
      <c r="X128" s="13">
        <f t="shared" si="8"/>
        <v>179688</v>
      </c>
      <c r="Y128" s="13">
        <f t="shared" si="9"/>
        <v>50313</v>
      </c>
      <c r="Z128" s="11">
        <v>0</v>
      </c>
      <c r="AA128" s="13">
        <f>ROUND(X128+Y128+Z128,0)-1</f>
        <v>230000</v>
      </c>
      <c r="AB128" s="13" t="str">
        <f t="shared" ref="AB128:AB134" si="42">IF(X128&lt;=150000,"A",IF(AND(X128&gt;150000,X128&lt;=200000),"B",IF(AND(G128=20,F128&gt;=650,X128&lt;=300000),"E",IF(AND(X128&gt;200000,X128&lt;300000),"C",IF(X128&gt;300000,"D",0)))))</f>
        <v>B</v>
      </c>
      <c r="AC128" s="15">
        <f>IF(AB128="A",VLOOKUP($G128,'[1]Price Components'!$B:$AC,7,0),IF(AB128="B",VLOOKUP($G128,'[1]Price Components'!$B:$AC,8,0),IF(AB128="C",VLOOKUP($G128,'[1]Price Components'!$B:$AC,9,0),IF(AB128="E",15%,IF(AB128="D",VLOOKUP($G128,'[1]Price Components'!$B:$AC,10,0))))))</f>
        <v>0.11</v>
      </c>
      <c r="AD128" s="13">
        <f>ROUND(IF(AC128=0,VLOOKUP($G128,'[1]Price Components'!$B:$AC,11,0),IF(I128="BASIC",X128*AC128,AA128*AC128)),0)</f>
        <v>19766</v>
      </c>
      <c r="AE128" s="13">
        <f>ROUND(VLOOKUP($G128,'[1]Price Components'!$B:$AC,12,0),0)</f>
        <v>755</v>
      </c>
      <c r="AF128" s="16">
        <f>VLOOKUP($G128,'[1]Price Components'!$B:$AC,14,0)</f>
        <v>7.92E-3</v>
      </c>
      <c r="AG128" s="16">
        <f>VLOOKUP($G128,'[1]Price Components'!$B:$AC,15,0)</f>
        <v>8.2979999999999998E-3</v>
      </c>
      <c r="AH128" s="13">
        <f t="shared" si="12"/>
        <v>1731</v>
      </c>
      <c r="AI128" s="13">
        <f t="shared" si="13"/>
        <v>7740</v>
      </c>
      <c r="AJ128" s="13">
        <f t="shared" si="14"/>
        <v>1705</v>
      </c>
      <c r="AK128" s="13">
        <f t="shared" si="15"/>
        <v>11176</v>
      </c>
      <c r="AL128" s="13">
        <f t="shared" si="16"/>
        <v>261697</v>
      </c>
      <c r="AM128" s="17"/>
      <c r="AN128" s="18">
        <v>230000</v>
      </c>
      <c r="AO128" s="18">
        <f t="shared" si="17"/>
        <v>0</v>
      </c>
      <c r="AP128" s="18"/>
    </row>
    <row r="129" spans="1:42" ht="15.75" customHeight="1" x14ac:dyDescent="0.3">
      <c r="A129" s="7"/>
      <c r="B129" s="7"/>
      <c r="C129" s="7" t="str">
        <f t="shared" si="0"/>
        <v>VBFV60RR19</v>
      </c>
      <c r="D129" s="7" t="s">
        <v>37</v>
      </c>
      <c r="E129" s="7"/>
      <c r="F129" s="8">
        <v>350</v>
      </c>
      <c r="G129" s="9" t="s">
        <v>62</v>
      </c>
      <c r="H129" s="7" t="str">
        <f>VLOOKUP(G129,'[1]Price Components'!B:C,2,0)</f>
        <v>Punjab</v>
      </c>
      <c r="I129" s="7" t="str">
        <f>VLOOKUP(G129,'[1]Price Components'!B:D,3,0)</f>
        <v>Basic</v>
      </c>
      <c r="J129" s="10">
        <f t="shared" si="1"/>
        <v>4.2500026868141909E-2</v>
      </c>
      <c r="K129" s="11">
        <v>144158</v>
      </c>
      <c r="L129" s="12">
        <f t="shared" si="2"/>
        <v>-1261.1901614662493</v>
      </c>
      <c r="M129" s="11">
        <v>142896.80983853375</v>
      </c>
      <c r="N129" s="8">
        <v>1279</v>
      </c>
      <c r="O129" s="13">
        <f>VLOOKUP(G129,'[1]Price Components'!B:E,4,0)</f>
        <v>1210</v>
      </c>
      <c r="P129" s="13">
        <f t="shared" si="3"/>
        <v>145386</v>
      </c>
      <c r="Q129" s="14">
        <f>ROUND(IF(F129&lt;500,VLOOKUP(G129,'[1]Price Components'!B:G,5,0),VLOOKUP(G129,'[1]Price Components'!B:G,6,0)),2)</f>
        <v>2272</v>
      </c>
      <c r="R129" s="11">
        <f t="shared" si="4"/>
        <v>7909</v>
      </c>
      <c r="S129" s="13">
        <v>0</v>
      </c>
      <c r="T129" s="11">
        <f t="shared" si="5"/>
        <v>7909</v>
      </c>
      <c r="U129" s="11">
        <v>292</v>
      </c>
      <c r="V129" s="13">
        <f t="shared" si="6"/>
        <v>8201</v>
      </c>
      <c r="W129" s="13">
        <f t="shared" si="7"/>
        <v>186094</v>
      </c>
      <c r="X129" s="13">
        <f t="shared" si="8"/>
        <v>155859</v>
      </c>
      <c r="Y129" s="13">
        <f t="shared" si="9"/>
        <v>43641</v>
      </c>
      <c r="Z129" s="11">
        <v>0</v>
      </c>
      <c r="AA129" s="13">
        <f t="shared" ref="AA129:AA134" si="43">ROUND(X129+Y129+Z129,0)</f>
        <v>199500</v>
      </c>
      <c r="AB129" s="13" t="str">
        <f t="shared" si="42"/>
        <v>B</v>
      </c>
      <c r="AC129" s="15">
        <f>IF(AB129="A",VLOOKUP($G129,'[1]Price Components'!$B:$AC,7,0),IF(AB129="B",VLOOKUP($G129,'[1]Price Components'!$B:$AC,8,0),IF(AB129="C",VLOOKUP($G129,'[1]Price Components'!$B:$AC,9,0),IF(AB129="E",15%,IF(AB129="D",VLOOKUP($G129,'[1]Price Components'!$B:$AC,10,0))))))</f>
        <v>0.11</v>
      </c>
      <c r="AD129" s="13">
        <f>ROUND(IF(AC129=0,VLOOKUP($G129,'[1]Price Components'!$B:$AC,11,0),IF(I129="BASIC",X129*AC129,AA129*AC129)),0)</f>
        <v>17144</v>
      </c>
      <c r="AE129" s="13">
        <f>ROUND(VLOOKUP($G129,'[1]Price Components'!$B:$AC,12,0),0)</f>
        <v>755</v>
      </c>
      <c r="AF129" s="16">
        <f>VLOOKUP($G129,'[1]Price Components'!$B:$AC,14,0)</f>
        <v>7.92E-3</v>
      </c>
      <c r="AG129" s="16">
        <f>VLOOKUP($G129,'[1]Price Components'!$B:$AC,15,0)</f>
        <v>8.2979999999999998E-3</v>
      </c>
      <c r="AH129" s="13">
        <f t="shared" si="12"/>
        <v>1501</v>
      </c>
      <c r="AI129" s="13">
        <f t="shared" si="13"/>
        <v>7740</v>
      </c>
      <c r="AJ129" s="13">
        <f t="shared" si="14"/>
        <v>1663</v>
      </c>
      <c r="AK129" s="13">
        <f t="shared" si="15"/>
        <v>10904</v>
      </c>
      <c r="AL129" s="13">
        <f t="shared" si="16"/>
        <v>228303</v>
      </c>
      <c r="AM129" s="17"/>
      <c r="AN129" s="18">
        <v>199500</v>
      </c>
      <c r="AO129" s="18">
        <f t="shared" si="17"/>
        <v>0</v>
      </c>
      <c r="AP129" s="18"/>
    </row>
    <row r="130" spans="1:42" ht="15.75" customHeight="1" x14ac:dyDescent="0.3">
      <c r="A130" s="7"/>
      <c r="B130" s="7"/>
      <c r="C130" s="7" t="str">
        <f t="shared" si="0"/>
        <v>VBFV60EB19</v>
      </c>
      <c r="D130" s="7" t="s">
        <v>39</v>
      </c>
      <c r="E130" s="7"/>
      <c r="F130" s="8">
        <v>350</v>
      </c>
      <c r="G130" s="9" t="s">
        <v>62</v>
      </c>
      <c r="H130" s="7" t="str">
        <f>VLOOKUP(G130,'[1]Price Components'!B:C,2,0)</f>
        <v>Punjab</v>
      </c>
      <c r="I130" s="7" t="str">
        <f>VLOOKUP(G130,'[1]Price Components'!B:D,3,0)</f>
        <v>Basic</v>
      </c>
      <c r="J130" s="10">
        <f t="shared" si="1"/>
        <v>4.2500026868141909E-2</v>
      </c>
      <c r="K130" s="11">
        <v>144158</v>
      </c>
      <c r="L130" s="12">
        <f t="shared" si="2"/>
        <v>-1261.1901614662493</v>
      </c>
      <c r="M130" s="11">
        <v>142896.80983853375</v>
      </c>
      <c r="N130" s="8">
        <v>1279</v>
      </c>
      <c r="O130" s="13">
        <f>VLOOKUP(G130,'[1]Price Components'!B:E,4,0)</f>
        <v>1210</v>
      </c>
      <c r="P130" s="13">
        <f t="shared" si="3"/>
        <v>145386</v>
      </c>
      <c r="Q130" s="14">
        <f>ROUND(IF(F130&lt;500,VLOOKUP(G130,'[1]Price Components'!B:G,5,0),VLOOKUP(G130,'[1]Price Components'!B:G,6,0)),2)</f>
        <v>2272</v>
      </c>
      <c r="R130" s="11">
        <f t="shared" si="4"/>
        <v>7909</v>
      </c>
      <c r="S130" s="13">
        <v>0</v>
      </c>
      <c r="T130" s="11">
        <f t="shared" si="5"/>
        <v>7909</v>
      </c>
      <c r="U130" s="11">
        <v>292</v>
      </c>
      <c r="V130" s="13">
        <f t="shared" si="6"/>
        <v>8201</v>
      </c>
      <c r="W130" s="13">
        <f t="shared" si="7"/>
        <v>186094</v>
      </c>
      <c r="X130" s="13">
        <f t="shared" si="8"/>
        <v>155859</v>
      </c>
      <c r="Y130" s="13">
        <f t="shared" si="9"/>
        <v>43641</v>
      </c>
      <c r="Z130" s="11">
        <v>0</v>
      </c>
      <c r="AA130" s="13">
        <f t="shared" si="43"/>
        <v>199500</v>
      </c>
      <c r="AB130" s="13" t="str">
        <f t="shared" si="42"/>
        <v>B</v>
      </c>
      <c r="AC130" s="15">
        <f>IF(AB130="A",VLOOKUP($G130,'[1]Price Components'!$B:$AC,7,0),IF(AB130="B",VLOOKUP($G130,'[1]Price Components'!$B:$AC,8,0),IF(AB130="C",VLOOKUP($G130,'[1]Price Components'!$B:$AC,9,0),IF(AB130="E",15%,IF(AB130="D",VLOOKUP($G130,'[1]Price Components'!$B:$AC,10,0))))))</f>
        <v>0.11</v>
      </c>
      <c r="AD130" s="13">
        <f>ROUND(IF(AC130=0,VLOOKUP($G130,'[1]Price Components'!$B:$AC,11,0),IF(I130="BASIC",X130*AC130,AA130*AC130)),0)</f>
        <v>17144</v>
      </c>
      <c r="AE130" s="13">
        <f>ROUND(VLOOKUP($G130,'[1]Price Components'!$B:$AC,12,0),0)</f>
        <v>755</v>
      </c>
      <c r="AF130" s="16">
        <f>VLOOKUP($G130,'[1]Price Components'!$B:$AC,14,0)</f>
        <v>7.92E-3</v>
      </c>
      <c r="AG130" s="16">
        <f>VLOOKUP($G130,'[1]Price Components'!$B:$AC,15,0)</f>
        <v>8.2979999999999998E-3</v>
      </c>
      <c r="AH130" s="13">
        <f t="shared" si="12"/>
        <v>1501</v>
      </c>
      <c r="AI130" s="13">
        <f t="shared" si="13"/>
        <v>7740</v>
      </c>
      <c r="AJ130" s="13">
        <f t="shared" si="14"/>
        <v>1663</v>
      </c>
      <c r="AK130" s="13">
        <f t="shared" si="15"/>
        <v>10904</v>
      </c>
      <c r="AL130" s="13">
        <f t="shared" si="16"/>
        <v>228303</v>
      </c>
      <c r="AM130" s="17"/>
      <c r="AN130" s="18">
        <v>199500</v>
      </c>
      <c r="AO130" s="18">
        <f t="shared" si="17"/>
        <v>0</v>
      </c>
      <c r="AP130" s="18"/>
    </row>
    <row r="131" spans="1:42" ht="15.75" customHeight="1" x14ac:dyDescent="0.3">
      <c r="A131" s="7"/>
      <c r="B131" s="7"/>
      <c r="C131" s="7" t="str">
        <f t="shared" si="0"/>
        <v>VBFV60HG19</v>
      </c>
      <c r="D131" s="7" t="s">
        <v>40</v>
      </c>
      <c r="E131" s="7"/>
      <c r="F131" s="8">
        <v>350</v>
      </c>
      <c r="G131" s="9" t="s">
        <v>62</v>
      </c>
      <c r="H131" s="7" t="str">
        <f>VLOOKUP(G131,'[1]Price Components'!B:C,2,0)</f>
        <v>Punjab</v>
      </c>
      <c r="I131" s="7" t="str">
        <f>VLOOKUP(G131,'[1]Price Components'!B:D,3,0)</f>
        <v>Basic</v>
      </c>
      <c r="J131" s="10">
        <f t="shared" si="1"/>
        <v>4.2497754290487119E-2</v>
      </c>
      <c r="K131" s="11">
        <v>147492</v>
      </c>
      <c r="L131" s="12">
        <f t="shared" si="2"/>
        <v>-1259.9793360552867</v>
      </c>
      <c r="M131" s="11">
        <v>146232.02066394471</v>
      </c>
      <c r="N131" s="8">
        <v>1279</v>
      </c>
      <c r="O131" s="13">
        <f>VLOOKUP(G131,'[1]Price Components'!B:E,4,0)</f>
        <v>1210</v>
      </c>
      <c r="P131" s="13">
        <f t="shared" si="3"/>
        <v>148721</v>
      </c>
      <c r="Q131" s="14">
        <f>ROUND(IF(F131&lt;500,VLOOKUP(G131,'[1]Price Components'!B:G,5,0),VLOOKUP(G131,'[1]Price Components'!B:G,6,0)),2)</f>
        <v>2272</v>
      </c>
      <c r="R131" s="11">
        <f t="shared" si="4"/>
        <v>8090</v>
      </c>
      <c r="S131" s="13">
        <v>0</v>
      </c>
      <c r="T131" s="11">
        <f t="shared" si="5"/>
        <v>8090</v>
      </c>
      <c r="U131" s="11">
        <v>292</v>
      </c>
      <c r="V131" s="13">
        <f t="shared" si="6"/>
        <v>8382</v>
      </c>
      <c r="W131" s="13">
        <f t="shared" si="7"/>
        <v>190363</v>
      </c>
      <c r="X131" s="13">
        <f t="shared" si="8"/>
        <v>159375</v>
      </c>
      <c r="Y131" s="13">
        <f t="shared" si="9"/>
        <v>44625</v>
      </c>
      <c r="Z131" s="11">
        <v>0</v>
      </c>
      <c r="AA131" s="13">
        <f t="shared" si="43"/>
        <v>204000</v>
      </c>
      <c r="AB131" s="13" t="str">
        <f t="shared" si="42"/>
        <v>B</v>
      </c>
      <c r="AC131" s="15">
        <f>IF(AB131="A",VLOOKUP($G131,'[1]Price Components'!$B:$AC,7,0),IF(AB131="B",VLOOKUP($G131,'[1]Price Components'!$B:$AC,8,0),IF(AB131="C",VLOOKUP($G131,'[1]Price Components'!$B:$AC,9,0),IF(AB131="E",15%,IF(AB131="D",VLOOKUP($G131,'[1]Price Components'!$B:$AC,10,0))))))</f>
        <v>0.11</v>
      </c>
      <c r="AD131" s="13">
        <f>ROUND(IF(AC131=0,VLOOKUP($G131,'[1]Price Components'!$B:$AC,11,0),IF(I131="BASIC",X131*AC131,AA131*AC131)),0)</f>
        <v>17531</v>
      </c>
      <c r="AE131" s="13">
        <f>ROUND(VLOOKUP($G131,'[1]Price Components'!$B:$AC,12,0),0)</f>
        <v>755</v>
      </c>
      <c r="AF131" s="16">
        <f>VLOOKUP($G131,'[1]Price Components'!$B:$AC,14,0)</f>
        <v>7.92E-3</v>
      </c>
      <c r="AG131" s="16">
        <f>VLOOKUP($G131,'[1]Price Components'!$B:$AC,15,0)</f>
        <v>8.2979999999999998E-3</v>
      </c>
      <c r="AH131" s="13">
        <f t="shared" si="12"/>
        <v>1535</v>
      </c>
      <c r="AI131" s="13">
        <f t="shared" si="13"/>
        <v>7740</v>
      </c>
      <c r="AJ131" s="13">
        <f t="shared" si="14"/>
        <v>1670</v>
      </c>
      <c r="AK131" s="13">
        <f t="shared" si="15"/>
        <v>10945</v>
      </c>
      <c r="AL131" s="13">
        <f t="shared" si="16"/>
        <v>233231</v>
      </c>
      <c r="AM131" s="17"/>
      <c r="AN131" s="18">
        <v>204000</v>
      </c>
      <c r="AO131" s="18">
        <f t="shared" si="17"/>
        <v>0</v>
      </c>
      <c r="AP131" s="18"/>
    </row>
    <row r="132" spans="1:42" ht="15.75" customHeight="1" x14ac:dyDescent="0.3">
      <c r="A132" s="7"/>
      <c r="B132" s="7"/>
      <c r="C132" s="7" t="str">
        <f t="shared" si="0"/>
        <v>VBFV60SE19</v>
      </c>
      <c r="D132" s="7" t="s">
        <v>41</v>
      </c>
      <c r="E132" s="7"/>
      <c r="F132" s="8">
        <v>350</v>
      </c>
      <c r="G132" s="9" t="s">
        <v>62</v>
      </c>
      <c r="H132" s="7" t="str">
        <f>VLOOKUP(G132,'[1]Price Components'!B:C,2,0)</f>
        <v>Punjab</v>
      </c>
      <c r="I132" s="7" t="str">
        <f>VLOOKUP(G132,'[1]Price Components'!B:D,3,0)</f>
        <v>Basic</v>
      </c>
      <c r="J132" s="10">
        <f t="shared" si="1"/>
        <v>4.2499615847885676E-2</v>
      </c>
      <c r="K132" s="11">
        <v>156384</v>
      </c>
      <c r="L132" s="12">
        <f t="shared" si="2"/>
        <v>-1261.4481895734498</v>
      </c>
      <c r="M132" s="11">
        <v>155122.55181042655</v>
      </c>
      <c r="N132" s="8">
        <v>1279</v>
      </c>
      <c r="O132" s="13">
        <f>VLOOKUP(G132,'[1]Price Components'!B:E,4,0)</f>
        <v>1210</v>
      </c>
      <c r="P132" s="13">
        <f t="shared" si="3"/>
        <v>157612</v>
      </c>
      <c r="Q132" s="14">
        <f>ROUND(IF(F132&lt;500,VLOOKUP(G132,'[1]Price Components'!B:G,5,0),VLOOKUP(G132,'[1]Price Components'!B:G,6,0)),2)</f>
        <v>2272</v>
      </c>
      <c r="R132" s="11">
        <f t="shared" si="4"/>
        <v>8574</v>
      </c>
      <c r="S132" s="13">
        <v>0</v>
      </c>
      <c r="T132" s="11">
        <f t="shared" si="5"/>
        <v>8574</v>
      </c>
      <c r="U132" s="11">
        <v>292</v>
      </c>
      <c r="V132" s="13">
        <f t="shared" si="6"/>
        <v>8866</v>
      </c>
      <c r="W132" s="13">
        <f t="shared" si="7"/>
        <v>201743</v>
      </c>
      <c r="X132" s="13">
        <f t="shared" si="8"/>
        <v>168750</v>
      </c>
      <c r="Y132" s="13">
        <f t="shared" si="9"/>
        <v>47250</v>
      </c>
      <c r="Z132" s="11">
        <v>0</v>
      </c>
      <c r="AA132" s="13">
        <f t="shared" si="43"/>
        <v>216000</v>
      </c>
      <c r="AB132" s="13" t="str">
        <f t="shared" si="42"/>
        <v>B</v>
      </c>
      <c r="AC132" s="15">
        <f>IF(AB132="A",VLOOKUP($G132,'[1]Price Components'!$B:$AC,7,0),IF(AB132="B",VLOOKUP($G132,'[1]Price Components'!$B:$AC,8,0),IF(AB132="C",VLOOKUP($G132,'[1]Price Components'!$B:$AC,9,0),IF(AB132="E",15%,IF(AB132="D",VLOOKUP($G132,'[1]Price Components'!$B:$AC,10,0))))))</f>
        <v>0.11</v>
      </c>
      <c r="AD132" s="13">
        <f>ROUND(IF(AC132=0,VLOOKUP($G132,'[1]Price Components'!$B:$AC,11,0),IF(I132="BASIC",X132*AC132,AA132*AC132)),0)</f>
        <v>18563</v>
      </c>
      <c r="AE132" s="13">
        <f>ROUND(VLOOKUP($G132,'[1]Price Components'!$B:$AC,12,0),0)</f>
        <v>755</v>
      </c>
      <c r="AF132" s="16">
        <f>VLOOKUP($G132,'[1]Price Components'!$B:$AC,14,0)</f>
        <v>7.92E-3</v>
      </c>
      <c r="AG132" s="16">
        <f>VLOOKUP($G132,'[1]Price Components'!$B:$AC,15,0)</f>
        <v>8.2979999999999998E-3</v>
      </c>
      <c r="AH132" s="13">
        <f t="shared" si="12"/>
        <v>1625</v>
      </c>
      <c r="AI132" s="13">
        <f t="shared" si="13"/>
        <v>7740</v>
      </c>
      <c r="AJ132" s="13">
        <f t="shared" si="14"/>
        <v>1686</v>
      </c>
      <c r="AK132" s="13">
        <f t="shared" si="15"/>
        <v>11051</v>
      </c>
      <c r="AL132" s="13">
        <f t="shared" si="16"/>
        <v>246369</v>
      </c>
      <c r="AM132" s="17"/>
      <c r="AN132" s="18">
        <v>216000</v>
      </c>
      <c r="AO132" s="18">
        <f t="shared" si="17"/>
        <v>0</v>
      </c>
      <c r="AP132" s="18"/>
    </row>
    <row r="133" spans="1:42" ht="15.75" customHeight="1" x14ac:dyDescent="0.3">
      <c r="A133" s="7"/>
      <c r="B133" s="7"/>
      <c r="C133" s="7" t="str">
        <f t="shared" si="0"/>
        <v>VBFV60GM19</v>
      </c>
      <c r="D133" s="7" t="s">
        <v>42</v>
      </c>
      <c r="E133" s="7"/>
      <c r="F133" s="8">
        <v>350</v>
      </c>
      <c r="G133" s="9" t="s">
        <v>62</v>
      </c>
      <c r="H133" s="7" t="str">
        <f>VLOOKUP(G133,'[1]Price Components'!B:C,2,0)</f>
        <v>Punjab</v>
      </c>
      <c r="I133" s="7" t="str">
        <f>VLOOKUP(G133,'[1]Price Components'!B:D,3,0)</f>
        <v>Basic</v>
      </c>
      <c r="J133" s="10">
        <f t="shared" si="1"/>
        <v>4.2500879787709604E-2</v>
      </c>
      <c r="K133" s="11">
        <v>163052</v>
      </c>
      <c r="L133" s="12">
        <f t="shared" si="2"/>
        <v>-1260.8549684094032</v>
      </c>
      <c r="M133" s="11">
        <v>161791.1450315906</v>
      </c>
      <c r="N133" s="8">
        <v>1279</v>
      </c>
      <c r="O133" s="13">
        <f>VLOOKUP(G133,'[1]Price Components'!B:E,4,0)</f>
        <v>1210</v>
      </c>
      <c r="P133" s="13">
        <f t="shared" si="3"/>
        <v>164280</v>
      </c>
      <c r="Q133" s="14">
        <f>ROUND(IF(F133&lt;500,VLOOKUP(G133,'[1]Price Components'!B:G,5,0),VLOOKUP(G133,'[1]Price Components'!B:G,6,0)),2)</f>
        <v>2272</v>
      </c>
      <c r="R133" s="11">
        <f t="shared" si="4"/>
        <v>8937</v>
      </c>
      <c r="S133" s="13">
        <v>0</v>
      </c>
      <c r="T133" s="11">
        <f t="shared" si="5"/>
        <v>8937</v>
      </c>
      <c r="U133" s="11">
        <v>292</v>
      </c>
      <c r="V133" s="13">
        <f t="shared" si="6"/>
        <v>9229</v>
      </c>
      <c r="W133" s="13">
        <f t="shared" si="7"/>
        <v>210278</v>
      </c>
      <c r="X133" s="13">
        <f t="shared" si="8"/>
        <v>175781</v>
      </c>
      <c r="Y133" s="13">
        <f t="shared" si="9"/>
        <v>49219</v>
      </c>
      <c r="Z133" s="11">
        <v>0</v>
      </c>
      <c r="AA133" s="13">
        <f t="shared" si="43"/>
        <v>225000</v>
      </c>
      <c r="AB133" s="13" t="str">
        <f t="shared" si="42"/>
        <v>B</v>
      </c>
      <c r="AC133" s="15">
        <f>IF(AB133="A",VLOOKUP($G133,'[1]Price Components'!$B:$AC,7,0),IF(AB133="B",VLOOKUP($G133,'[1]Price Components'!$B:$AC,8,0),IF(AB133="C",VLOOKUP($G133,'[1]Price Components'!$B:$AC,9,0),IF(AB133="E",15%,IF(AB133="D",VLOOKUP($G133,'[1]Price Components'!$B:$AC,10,0))))))</f>
        <v>0.11</v>
      </c>
      <c r="AD133" s="13">
        <f>ROUND(IF(AC133=0,VLOOKUP($G133,'[1]Price Components'!$B:$AC,11,0),IF(I133="BASIC",X133*AC133,AA133*AC133)),0)</f>
        <v>19336</v>
      </c>
      <c r="AE133" s="13">
        <f>ROUND(VLOOKUP($G133,'[1]Price Components'!$B:$AC,12,0),0)</f>
        <v>755</v>
      </c>
      <c r="AF133" s="16">
        <f>VLOOKUP($G133,'[1]Price Components'!$B:$AC,14,0)</f>
        <v>7.92E-3</v>
      </c>
      <c r="AG133" s="16">
        <f>VLOOKUP($G133,'[1]Price Components'!$B:$AC,15,0)</f>
        <v>8.2979999999999998E-3</v>
      </c>
      <c r="AH133" s="13">
        <f t="shared" si="12"/>
        <v>1693</v>
      </c>
      <c r="AI133" s="13">
        <f t="shared" si="13"/>
        <v>7740</v>
      </c>
      <c r="AJ133" s="13">
        <f t="shared" si="14"/>
        <v>1698</v>
      </c>
      <c r="AK133" s="13">
        <f t="shared" si="15"/>
        <v>11131</v>
      </c>
      <c r="AL133" s="13">
        <f t="shared" si="16"/>
        <v>256222</v>
      </c>
      <c r="AM133" s="17"/>
      <c r="AN133" s="18">
        <v>225000</v>
      </c>
      <c r="AO133" s="18">
        <f t="shared" si="17"/>
        <v>0</v>
      </c>
      <c r="AP133" s="18"/>
    </row>
    <row r="134" spans="1:42" ht="15.75" customHeight="1" x14ac:dyDescent="0.3">
      <c r="A134" s="7"/>
      <c r="B134" s="7"/>
      <c r="C134" s="7" t="str">
        <f t="shared" si="0"/>
        <v>VBFV60SB19</v>
      </c>
      <c r="D134" s="7" t="s">
        <v>43</v>
      </c>
      <c r="E134" s="7"/>
      <c r="F134" s="8">
        <v>350</v>
      </c>
      <c r="G134" s="9" t="s">
        <v>62</v>
      </c>
      <c r="H134" s="7" t="str">
        <f>VLOOKUP(G134,'[1]Price Components'!B:C,2,0)</f>
        <v>Punjab</v>
      </c>
      <c r="I134" s="7" t="str">
        <f>VLOOKUP(G134,'[1]Price Components'!B:D,3,0)</f>
        <v>Basic</v>
      </c>
      <c r="J134" s="10">
        <f t="shared" si="1"/>
        <v>4.2500879787709604E-2</v>
      </c>
      <c r="K134" s="11">
        <v>163052</v>
      </c>
      <c r="L134" s="12">
        <f t="shared" si="2"/>
        <v>-1260.8549684094032</v>
      </c>
      <c r="M134" s="11">
        <v>161791.1450315906</v>
      </c>
      <c r="N134" s="8">
        <v>1279</v>
      </c>
      <c r="O134" s="13">
        <f>VLOOKUP(G134,'[1]Price Components'!B:E,4,0)</f>
        <v>1210</v>
      </c>
      <c r="P134" s="13">
        <f t="shared" si="3"/>
        <v>164280</v>
      </c>
      <c r="Q134" s="14">
        <f>ROUND(IF(F134&lt;500,VLOOKUP(G134,'[1]Price Components'!B:G,5,0),VLOOKUP(G134,'[1]Price Components'!B:G,6,0)),2)</f>
        <v>2272</v>
      </c>
      <c r="R134" s="11">
        <f t="shared" si="4"/>
        <v>8937</v>
      </c>
      <c r="S134" s="13">
        <v>0</v>
      </c>
      <c r="T134" s="11">
        <f t="shared" si="5"/>
        <v>8937</v>
      </c>
      <c r="U134" s="11">
        <v>292</v>
      </c>
      <c r="V134" s="13">
        <f t="shared" si="6"/>
        <v>9229</v>
      </c>
      <c r="W134" s="13">
        <f t="shared" si="7"/>
        <v>210278</v>
      </c>
      <c r="X134" s="13">
        <f t="shared" si="8"/>
        <v>175781</v>
      </c>
      <c r="Y134" s="13">
        <f t="shared" si="9"/>
        <v>49219</v>
      </c>
      <c r="Z134" s="11">
        <v>0</v>
      </c>
      <c r="AA134" s="13">
        <f t="shared" si="43"/>
        <v>225000</v>
      </c>
      <c r="AB134" s="13" t="str">
        <f t="shared" si="42"/>
        <v>B</v>
      </c>
      <c r="AC134" s="15">
        <f>IF(AB134="A",VLOOKUP($G134,'[1]Price Components'!$B:$AC,7,0),IF(AB134="B",VLOOKUP($G134,'[1]Price Components'!$B:$AC,8,0),IF(AB134="C",VLOOKUP($G134,'[1]Price Components'!$B:$AC,9,0),IF(AB134="E",15%,IF(AB134="D",VLOOKUP($G134,'[1]Price Components'!$B:$AC,10,0))))))</f>
        <v>0.11</v>
      </c>
      <c r="AD134" s="13">
        <f>ROUND(IF(AC134=0,VLOOKUP($G134,'[1]Price Components'!$B:$AC,11,0),IF(I134="BASIC",X134*AC134,AA134*AC134)),0)</f>
        <v>19336</v>
      </c>
      <c r="AE134" s="13">
        <f>ROUND(VLOOKUP($G134,'[1]Price Components'!$B:$AC,12,0),0)</f>
        <v>755</v>
      </c>
      <c r="AF134" s="16">
        <f>VLOOKUP($G134,'[1]Price Components'!$B:$AC,14,0)</f>
        <v>7.92E-3</v>
      </c>
      <c r="AG134" s="16">
        <f>VLOOKUP($G134,'[1]Price Components'!$B:$AC,15,0)</f>
        <v>8.2979999999999998E-3</v>
      </c>
      <c r="AH134" s="13">
        <f t="shared" si="12"/>
        <v>1693</v>
      </c>
      <c r="AI134" s="13">
        <f t="shared" si="13"/>
        <v>7740</v>
      </c>
      <c r="AJ134" s="13">
        <f t="shared" si="14"/>
        <v>1698</v>
      </c>
      <c r="AK134" s="13">
        <f t="shared" si="15"/>
        <v>11131</v>
      </c>
      <c r="AL134" s="13">
        <f t="shared" si="16"/>
        <v>256222</v>
      </c>
      <c r="AM134" s="17"/>
      <c r="AN134" s="18">
        <v>225000</v>
      </c>
      <c r="AO134" s="18">
        <f t="shared" si="17"/>
        <v>0</v>
      </c>
      <c r="AP134" s="18"/>
    </row>
    <row r="135" spans="1:42" ht="15.75" customHeight="1" x14ac:dyDescent="0.3">
      <c r="A135" s="7"/>
      <c r="B135" s="7"/>
      <c r="C135" s="7" t="str">
        <f t="shared" si="0"/>
        <v>VBFV60DN20</v>
      </c>
      <c r="D135" s="7" t="s">
        <v>44</v>
      </c>
      <c r="E135" s="7"/>
      <c r="F135" s="8">
        <v>350</v>
      </c>
      <c r="G135" s="9" t="s">
        <v>63</v>
      </c>
      <c r="H135" s="7" t="str">
        <f>VLOOKUP(G135,'[1]Price Components'!B:C,2,0)</f>
        <v>Rajasthan</v>
      </c>
      <c r="I135" s="7" t="str">
        <f>VLOOKUP(G135,'[1]Price Components'!B:D,3,0)</f>
        <v>EX-SHOWROOM</v>
      </c>
      <c r="J135" s="10">
        <f t="shared" si="1"/>
        <v>4.2501770907121129E-2</v>
      </c>
      <c r="K135" s="11">
        <v>166757</v>
      </c>
      <c r="L135" s="12">
        <f t="shared" si="2"/>
        <v>-788.11079168246943</v>
      </c>
      <c r="M135" s="11">
        <v>165968.88920831753</v>
      </c>
      <c r="N135" s="8">
        <v>1279</v>
      </c>
      <c r="O135" s="13">
        <f>VLOOKUP(G135,'[1]Price Components'!B:E,4,0)</f>
        <v>1495</v>
      </c>
      <c r="P135" s="13">
        <f t="shared" si="3"/>
        <v>168743</v>
      </c>
      <c r="Q135" s="14">
        <f>ROUND(IF(F135&lt;500,VLOOKUP(G135,'[1]Price Components'!B:G,5,0),VLOOKUP(G135,'[1]Price Components'!B:G,6,0)),2)</f>
        <v>1472</v>
      </c>
      <c r="R135" s="11">
        <f t="shared" si="4"/>
        <v>9180</v>
      </c>
      <c r="S135" s="13">
        <v>0</v>
      </c>
      <c r="T135" s="11">
        <f t="shared" si="5"/>
        <v>9180</v>
      </c>
      <c r="U135" s="11">
        <v>292</v>
      </c>
      <c r="V135" s="13">
        <f t="shared" si="6"/>
        <v>9472</v>
      </c>
      <c r="W135" s="13">
        <f t="shared" si="7"/>
        <v>215991</v>
      </c>
      <c r="X135" s="13">
        <f t="shared" si="8"/>
        <v>179687</v>
      </c>
      <c r="Y135" s="13">
        <f t="shared" si="9"/>
        <v>50312</v>
      </c>
      <c r="Z135" s="11">
        <v>0</v>
      </c>
      <c r="AA135" s="13">
        <f>ROUND(X135+Y135+Z135,0)+1</f>
        <v>230000</v>
      </c>
      <c r="AB135" s="13" t="str">
        <f t="shared" ref="AB135:AB246" si="44">IF(AA135&lt;=150000,"A",IF(AND(AA135&gt;150000,AA135&lt;=200000),"B",IF(AND(G135=20,F135&gt;=650,AA135&lt;=300000),"E",IF(AND(AA135&gt;200000,AA135&lt;300000),"C",IF(AA135&gt;300000,"D",0)))))</f>
        <v>C</v>
      </c>
      <c r="AC135" s="15">
        <f>IF(AB135="A",VLOOKUP($G135,'[1]Price Components'!$B:$AC,7,0),IF(AB135="B",VLOOKUP($G135,'[1]Price Components'!$B:$AC,8,0),IF(AB135="C",VLOOKUP($G135,'[1]Price Components'!$B:$AC,9,0),IF(AB135="E",15%,IF(AB135="D",VLOOKUP($G135,'[1]Price Components'!$B:$AC,10,0))))))</f>
        <v>0.13</v>
      </c>
      <c r="AD135" s="13">
        <f>ROUND(IF(AC135=0,VLOOKUP($G135,'[1]Price Components'!$B:$AC,11,0),IF(I135="BASIC",X135*AC135,AA135*AC135)),0)</f>
        <v>29900</v>
      </c>
      <c r="AE135" s="13">
        <f>ROUND(VLOOKUP($G135,'[1]Price Components'!$B:$AC,12,0),0)</f>
        <v>1350</v>
      </c>
      <c r="AF135" s="16">
        <f>VLOOKUP($G135,'[1]Price Components'!$B:$AC,14,0)</f>
        <v>7.92E-3</v>
      </c>
      <c r="AG135" s="16">
        <f>VLOOKUP($G135,'[1]Price Components'!$B:$AC,15,0)</f>
        <v>8.2979999999999998E-3</v>
      </c>
      <c r="AH135" s="13">
        <f t="shared" si="12"/>
        <v>1731</v>
      </c>
      <c r="AI135" s="13">
        <f t="shared" si="13"/>
        <v>7740</v>
      </c>
      <c r="AJ135" s="13">
        <f t="shared" si="14"/>
        <v>1705</v>
      </c>
      <c r="AK135" s="13">
        <f t="shared" si="15"/>
        <v>11176</v>
      </c>
      <c r="AL135" s="13">
        <f t="shared" si="16"/>
        <v>272426</v>
      </c>
      <c r="AM135" s="17"/>
      <c r="AN135" s="18">
        <v>230000</v>
      </c>
      <c r="AO135" s="18">
        <f t="shared" si="17"/>
        <v>0</v>
      </c>
      <c r="AP135" s="18"/>
    </row>
    <row r="136" spans="1:42" ht="15.75" customHeight="1" x14ac:dyDescent="0.3">
      <c r="A136" s="7"/>
      <c r="B136" s="7"/>
      <c r="C136" s="7" t="str">
        <f t="shared" si="0"/>
        <v>VBFV60RR20</v>
      </c>
      <c r="D136" s="7" t="s">
        <v>37</v>
      </c>
      <c r="E136" s="7"/>
      <c r="F136" s="8">
        <v>350</v>
      </c>
      <c r="G136" s="9" t="s">
        <v>63</v>
      </c>
      <c r="H136" s="7" t="str">
        <f>VLOOKUP(G136,'[1]Price Components'!B:C,2,0)</f>
        <v>Rajasthan</v>
      </c>
      <c r="I136" s="7" t="str">
        <f>VLOOKUP(G136,'[1]Price Components'!B:D,3,0)</f>
        <v>EX-SHOWROOM</v>
      </c>
      <c r="J136" s="10">
        <f t="shared" si="1"/>
        <v>4.2498369559406841E-2</v>
      </c>
      <c r="K136" s="11">
        <v>144158</v>
      </c>
      <c r="L136" s="12">
        <f t="shared" si="2"/>
        <v>-787.32421875</v>
      </c>
      <c r="M136" s="11">
        <v>143370.67578125</v>
      </c>
      <c r="N136" s="8">
        <v>1279</v>
      </c>
      <c r="O136" s="13">
        <f>VLOOKUP(G136,'[1]Price Components'!B:E,4,0)</f>
        <v>1495</v>
      </c>
      <c r="P136" s="13">
        <f t="shared" si="3"/>
        <v>146145</v>
      </c>
      <c r="Q136" s="14">
        <f>ROUND(IF(F136&lt;500,VLOOKUP(G136,'[1]Price Components'!B:G,5,0),VLOOKUP(G136,'[1]Price Components'!B:G,6,0)),2)</f>
        <v>1472</v>
      </c>
      <c r="R136" s="11">
        <f t="shared" si="4"/>
        <v>7950</v>
      </c>
      <c r="S136" s="13">
        <v>0</v>
      </c>
      <c r="T136" s="11">
        <f t="shared" si="5"/>
        <v>7950</v>
      </c>
      <c r="U136" s="11">
        <v>292</v>
      </c>
      <c r="V136" s="13">
        <f t="shared" si="6"/>
        <v>8242</v>
      </c>
      <c r="W136" s="13">
        <f t="shared" si="7"/>
        <v>187066</v>
      </c>
      <c r="X136" s="13">
        <f t="shared" si="8"/>
        <v>155859</v>
      </c>
      <c r="Y136" s="13">
        <f t="shared" si="9"/>
        <v>43641</v>
      </c>
      <c r="Z136" s="11">
        <v>0</v>
      </c>
      <c r="AA136" s="13">
        <f t="shared" ref="AA136:AA141" si="45">ROUND(X136+Y136+Z136,0)</f>
        <v>199500</v>
      </c>
      <c r="AB136" s="13" t="str">
        <f t="shared" si="44"/>
        <v>B</v>
      </c>
      <c r="AC136" s="15">
        <f>IF(AB136="A",VLOOKUP($G136,'[1]Price Components'!$B:$AC,7,0),IF(AB136="B",VLOOKUP($G136,'[1]Price Components'!$B:$AC,8,0),IF(AB136="C",VLOOKUP($G136,'[1]Price Components'!$B:$AC,9,0),IF(AB136="E",15%,IF(AB136="D",VLOOKUP($G136,'[1]Price Components'!$B:$AC,10,0))))))</f>
        <v>0.13</v>
      </c>
      <c r="AD136" s="13">
        <f>ROUND(IF(AC136=0,VLOOKUP($G136,'[1]Price Components'!$B:$AC,11,0),IF(I136="BASIC",X136*AC136,AA136*AC136)),0)</f>
        <v>25935</v>
      </c>
      <c r="AE136" s="13">
        <f>ROUND(VLOOKUP($G136,'[1]Price Components'!$B:$AC,12,0),0)</f>
        <v>1350</v>
      </c>
      <c r="AF136" s="16">
        <f>VLOOKUP($G136,'[1]Price Components'!$B:$AC,14,0)</f>
        <v>7.92E-3</v>
      </c>
      <c r="AG136" s="16">
        <f>VLOOKUP($G136,'[1]Price Components'!$B:$AC,15,0)</f>
        <v>8.2979999999999998E-3</v>
      </c>
      <c r="AH136" s="13">
        <f t="shared" si="12"/>
        <v>1501</v>
      </c>
      <c r="AI136" s="13">
        <f t="shared" si="13"/>
        <v>7740</v>
      </c>
      <c r="AJ136" s="13">
        <f t="shared" si="14"/>
        <v>1663</v>
      </c>
      <c r="AK136" s="13">
        <f t="shared" si="15"/>
        <v>10904</v>
      </c>
      <c r="AL136" s="13">
        <f t="shared" si="16"/>
        <v>237689</v>
      </c>
      <c r="AM136" s="17"/>
      <c r="AN136" s="18">
        <v>199500</v>
      </c>
      <c r="AO136" s="18">
        <f t="shared" si="17"/>
        <v>0</v>
      </c>
      <c r="AP136" s="18"/>
    </row>
    <row r="137" spans="1:42" ht="15.75" customHeight="1" x14ac:dyDescent="0.3">
      <c r="A137" s="7"/>
      <c r="B137" s="7"/>
      <c r="C137" s="7" t="str">
        <f t="shared" si="0"/>
        <v>VBFV60EB20</v>
      </c>
      <c r="D137" s="7" t="s">
        <v>39</v>
      </c>
      <c r="E137" s="7"/>
      <c r="F137" s="8">
        <v>350</v>
      </c>
      <c r="G137" s="9" t="s">
        <v>63</v>
      </c>
      <c r="H137" s="7" t="str">
        <f>VLOOKUP(G137,'[1]Price Components'!B:C,2,0)</f>
        <v>Rajasthan</v>
      </c>
      <c r="I137" s="7" t="str">
        <f>VLOOKUP(G137,'[1]Price Components'!B:D,3,0)</f>
        <v>EX-SHOWROOM</v>
      </c>
      <c r="J137" s="10">
        <f t="shared" si="1"/>
        <v>4.2498369559406841E-2</v>
      </c>
      <c r="K137" s="11">
        <v>144158</v>
      </c>
      <c r="L137" s="12">
        <f t="shared" si="2"/>
        <v>-787.32421875</v>
      </c>
      <c r="M137" s="11">
        <v>143370.67578125</v>
      </c>
      <c r="N137" s="8">
        <v>1279</v>
      </c>
      <c r="O137" s="13">
        <f>VLOOKUP(G137,'[1]Price Components'!B:E,4,0)</f>
        <v>1495</v>
      </c>
      <c r="P137" s="13">
        <f t="shared" si="3"/>
        <v>146145</v>
      </c>
      <c r="Q137" s="14">
        <f>ROUND(IF(F137&lt;500,VLOOKUP(G137,'[1]Price Components'!B:G,5,0),VLOOKUP(G137,'[1]Price Components'!B:G,6,0)),2)</f>
        <v>1472</v>
      </c>
      <c r="R137" s="11">
        <f t="shared" si="4"/>
        <v>7950</v>
      </c>
      <c r="S137" s="13">
        <v>0</v>
      </c>
      <c r="T137" s="11">
        <f t="shared" si="5"/>
        <v>7950</v>
      </c>
      <c r="U137" s="11">
        <v>292</v>
      </c>
      <c r="V137" s="13">
        <f t="shared" si="6"/>
        <v>8242</v>
      </c>
      <c r="W137" s="13">
        <f t="shared" si="7"/>
        <v>187066</v>
      </c>
      <c r="X137" s="13">
        <f t="shared" si="8"/>
        <v>155859</v>
      </c>
      <c r="Y137" s="13">
        <f t="shared" si="9"/>
        <v>43641</v>
      </c>
      <c r="Z137" s="11">
        <v>0</v>
      </c>
      <c r="AA137" s="13">
        <f t="shared" si="45"/>
        <v>199500</v>
      </c>
      <c r="AB137" s="13" t="str">
        <f t="shared" si="44"/>
        <v>B</v>
      </c>
      <c r="AC137" s="15">
        <f>IF(AB137="A",VLOOKUP($G137,'[1]Price Components'!$B:$AC,7,0),IF(AB137="B",VLOOKUP($G137,'[1]Price Components'!$B:$AC,8,0),IF(AB137="C",VLOOKUP($G137,'[1]Price Components'!$B:$AC,9,0),IF(AB137="E",15%,IF(AB137="D",VLOOKUP($G137,'[1]Price Components'!$B:$AC,10,0))))))</f>
        <v>0.13</v>
      </c>
      <c r="AD137" s="13">
        <f>ROUND(IF(AC137=0,VLOOKUP($G137,'[1]Price Components'!$B:$AC,11,0),IF(I137="BASIC",X137*AC137,AA137*AC137)),0)</f>
        <v>25935</v>
      </c>
      <c r="AE137" s="13">
        <f>ROUND(VLOOKUP($G137,'[1]Price Components'!$B:$AC,12,0),0)</f>
        <v>1350</v>
      </c>
      <c r="AF137" s="16">
        <f>VLOOKUP($G137,'[1]Price Components'!$B:$AC,14,0)</f>
        <v>7.92E-3</v>
      </c>
      <c r="AG137" s="16">
        <f>VLOOKUP($G137,'[1]Price Components'!$B:$AC,15,0)</f>
        <v>8.2979999999999998E-3</v>
      </c>
      <c r="AH137" s="13">
        <f t="shared" si="12"/>
        <v>1501</v>
      </c>
      <c r="AI137" s="13">
        <f t="shared" si="13"/>
        <v>7740</v>
      </c>
      <c r="AJ137" s="13">
        <f t="shared" si="14"/>
        <v>1663</v>
      </c>
      <c r="AK137" s="13">
        <f t="shared" si="15"/>
        <v>10904</v>
      </c>
      <c r="AL137" s="13">
        <f t="shared" si="16"/>
        <v>237689</v>
      </c>
      <c r="AM137" s="17"/>
      <c r="AN137" s="18">
        <v>199500</v>
      </c>
      <c r="AO137" s="18">
        <f t="shared" si="17"/>
        <v>0</v>
      </c>
      <c r="AP137" s="18"/>
    </row>
    <row r="138" spans="1:42" ht="15.75" customHeight="1" x14ac:dyDescent="0.3">
      <c r="A138" s="7"/>
      <c r="B138" s="7"/>
      <c r="C138" s="7" t="str">
        <f t="shared" si="0"/>
        <v>VBFV60HG20</v>
      </c>
      <c r="D138" s="7" t="s">
        <v>40</v>
      </c>
      <c r="E138" s="7"/>
      <c r="F138" s="8">
        <v>350</v>
      </c>
      <c r="G138" s="9" t="s">
        <v>63</v>
      </c>
      <c r="H138" s="7" t="str">
        <f>VLOOKUP(G138,'[1]Price Components'!B:C,2,0)</f>
        <v>Rajasthan</v>
      </c>
      <c r="I138" s="7" t="str">
        <f>VLOOKUP(G138,'[1]Price Components'!B:D,3,0)</f>
        <v>EX-SHOWROOM</v>
      </c>
      <c r="J138" s="10">
        <f t="shared" si="1"/>
        <v>4.2501816205254714E-2</v>
      </c>
      <c r="K138" s="11">
        <v>147492</v>
      </c>
      <c r="L138" s="12">
        <f t="shared" si="2"/>
        <v>-787.1173136002617</v>
      </c>
      <c r="M138" s="11">
        <v>146704.88268639974</v>
      </c>
      <c r="N138" s="8">
        <v>1279</v>
      </c>
      <c r="O138" s="13">
        <f>VLOOKUP(G138,'[1]Price Components'!B:E,4,0)</f>
        <v>1495</v>
      </c>
      <c r="P138" s="13">
        <f t="shared" si="3"/>
        <v>149479</v>
      </c>
      <c r="Q138" s="14">
        <f>ROUND(IF(F138&lt;500,VLOOKUP(G138,'[1]Price Components'!B:G,5,0),VLOOKUP(G138,'[1]Price Components'!B:G,6,0)),2)</f>
        <v>1472</v>
      </c>
      <c r="R138" s="11">
        <f t="shared" si="4"/>
        <v>8132</v>
      </c>
      <c r="S138" s="13">
        <v>0</v>
      </c>
      <c r="T138" s="11">
        <f t="shared" si="5"/>
        <v>8132</v>
      </c>
      <c r="U138" s="11">
        <v>292</v>
      </c>
      <c r="V138" s="13">
        <f t="shared" si="6"/>
        <v>8424</v>
      </c>
      <c r="W138" s="13">
        <f t="shared" si="7"/>
        <v>191333</v>
      </c>
      <c r="X138" s="13">
        <f t="shared" si="8"/>
        <v>159375</v>
      </c>
      <c r="Y138" s="13">
        <f t="shared" si="9"/>
        <v>44625</v>
      </c>
      <c r="Z138" s="11">
        <v>0</v>
      </c>
      <c r="AA138" s="13">
        <f t="shared" si="45"/>
        <v>204000</v>
      </c>
      <c r="AB138" s="13" t="str">
        <f t="shared" si="44"/>
        <v>C</v>
      </c>
      <c r="AC138" s="15">
        <f>IF(AB138="A",VLOOKUP($G138,'[1]Price Components'!$B:$AC,7,0),IF(AB138="B",VLOOKUP($G138,'[1]Price Components'!$B:$AC,8,0),IF(AB138="C",VLOOKUP($G138,'[1]Price Components'!$B:$AC,9,0),IF(AB138="E",15%,IF(AB138="D",VLOOKUP($G138,'[1]Price Components'!$B:$AC,10,0))))))</f>
        <v>0.13</v>
      </c>
      <c r="AD138" s="13">
        <f>ROUND(IF(AC138=0,VLOOKUP($G138,'[1]Price Components'!$B:$AC,11,0),IF(I138="BASIC",X138*AC138,AA138*AC138)),0)</f>
        <v>26520</v>
      </c>
      <c r="AE138" s="13">
        <f>ROUND(VLOOKUP($G138,'[1]Price Components'!$B:$AC,12,0),0)</f>
        <v>1350</v>
      </c>
      <c r="AF138" s="16">
        <f>VLOOKUP($G138,'[1]Price Components'!$B:$AC,14,0)</f>
        <v>7.92E-3</v>
      </c>
      <c r="AG138" s="16">
        <f>VLOOKUP($G138,'[1]Price Components'!$B:$AC,15,0)</f>
        <v>8.2979999999999998E-3</v>
      </c>
      <c r="AH138" s="13">
        <f t="shared" si="12"/>
        <v>1535</v>
      </c>
      <c r="AI138" s="13">
        <f t="shared" si="13"/>
        <v>7740</v>
      </c>
      <c r="AJ138" s="13">
        <f t="shared" si="14"/>
        <v>1670</v>
      </c>
      <c r="AK138" s="13">
        <f t="shared" si="15"/>
        <v>10945</v>
      </c>
      <c r="AL138" s="13">
        <f t="shared" si="16"/>
        <v>242815</v>
      </c>
      <c r="AM138" s="17"/>
      <c r="AN138" s="18">
        <v>204000</v>
      </c>
      <c r="AO138" s="18">
        <f t="shared" si="17"/>
        <v>0</v>
      </c>
      <c r="AP138" s="18"/>
    </row>
    <row r="139" spans="1:42" ht="15.75" customHeight="1" x14ac:dyDescent="0.3">
      <c r="A139" s="7"/>
      <c r="B139" s="7"/>
      <c r="C139" s="7" t="str">
        <f t="shared" si="0"/>
        <v>VBFV60SE20</v>
      </c>
      <c r="D139" s="7" t="s">
        <v>41</v>
      </c>
      <c r="E139" s="7"/>
      <c r="F139" s="8">
        <v>350</v>
      </c>
      <c r="G139" s="9" t="s">
        <v>63</v>
      </c>
      <c r="H139" s="7" t="str">
        <f>VLOOKUP(G139,'[1]Price Components'!B:C,2,0)</f>
        <v>Rajasthan</v>
      </c>
      <c r="I139" s="7" t="str">
        <f>VLOOKUP(G139,'[1]Price Components'!B:D,3,0)</f>
        <v>EX-SHOWROOM</v>
      </c>
      <c r="J139" s="10">
        <f t="shared" si="1"/>
        <v>4.2498088449300746E-2</v>
      </c>
      <c r="K139" s="11">
        <v>156384</v>
      </c>
      <c r="L139" s="12">
        <f t="shared" si="2"/>
        <v>-787.10809478673036</v>
      </c>
      <c r="M139" s="11">
        <v>155596.89190521327</v>
      </c>
      <c r="N139" s="8">
        <v>1279</v>
      </c>
      <c r="O139" s="13">
        <f>VLOOKUP(G139,'[1]Price Components'!B:E,4,0)</f>
        <v>1495</v>
      </c>
      <c r="P139" s="13">
        <f t="shared" si="3"/>
        <v>158371</v>
      </c>
      <c r="Q139" s="14">
        <f>ROUND(IF(F139&lt;500,VLOOKUP(G139,'[1]Price Components'!B:G,5,0),VLOOKUP(G139,'[1]Price Components'!B:G,6,0)),2)</f>
        <v>1472</v>
      </c>
      <c r="R139" s="11">
        <f t="shared" si="4"/>
        <v>8615</v>
      </c>
      <c r="S139" s="13">
        <v>0</v>
      </c>
      <c r="T139" s="11">
        <f t="shared" si="5"/>
        <v>8615</v>
      </c>
      <c r="U139" s="11">
        <v>292</v>
      </c>
      <c r="V139" s="13">
        <f t="shared" si="6"/>
        <v>8907</v>
      </c>
      <c r="W139" s="13">
        <f t="shared" si="7"/>
        <v>202715</v>
      </c>
      <c r="X139" s="13">
        <f t="shared" si="8"/>
        <v>168750</v>
      </c>
      <c r="Y139" s="13">
        <f t="shared" si="9"/>
        <v>47250</v>
      </c>
      <c r="Z139" s="11">
        <v>0</v>
      </c>
      <c r="AA139" s="13">
        <f t="shared" si="45"/>
        <v>216000</v>
      </c>
      <c r="AB139" s="13" t="str">
        <f t="shared" si="44"/>
        <v>C</v>
      </c>
      <c r="AC139" s="15">
        <f>IF(AB139="A",VLOOKUP($G139,'[1]Price Components'!$B:$AC,7,0),IF(AB139="B",VLOOKUP($G139,'[1]Price Components'!$B:$AC,8,0),IF(AB139="C",VLOOKUP($G139,'[1]Price Components'!$B:$AC,9,0),IF(AB139="E",15%,IF(AB139="D",VLOOKUP($G139,'[1]Price Components'!$B:$AC,10,0))))))</f>
        <v>0.13</v>
      </c>
      <c r="AD139" s="13">
        <f>ROUND(IF(AC139=0,VLOOKUP($G139,'[1]Price Components'!$B:$AC,11,0),IF(I139="BASIC",X139*AC139,AA139*AC139)),0)</f>
        <v>28080</v>
      </c>
      <c r="AE139" s="13">
        <f>ROUND(VLOOKUP($G139,'[1]Price Components'!$B:$AC,12,0),0)</f>
        <v>1350</v>
      </c>
      <c r="AF139" s="16">
        <f>VLOOKUP($G139,'[1]Price Components'!$B:$AC,14,0)</f>
        <v>7.92E-3</v>
      </c>
      <c r="AG139" s="16">
        <f>VLOOKUP($G139,'[1]Price Components'!$B:$AC,15,0)</f>
        <v>8.2979999999999998E-3</v>
      </c>
      <c r="AH139" s="13">
        <f t="shared" si="12"/>
        <v>1625</v>
      </c>
      <c r="AI139" s="13">
        <f t="shared" si="13"/>
        <v>7740</v>
      </c>
      <c r="AJ139" s="13">
        <f t="shared" si="14"/>
        <v>1686</v>
      </c>
      <c r="AK139" s="13">
        <f t="shared" si="15"/>
        <v>11051</v>
      </c>
      <c r="AL139" s="13">
        <f t="shared" si="16"/>
        <v>256481</v>
      </c>
      <c r="AM139" s="17"/>
      <c r="AN139" s="18">
        <v>216000</v>
      </c>
      <c r="AO139" s="18">
        <f t="shared" si="17"/>
        <v>0</v>
      </c>
      <c r="AP139" s="18"/>
    </row>
    <row r="140" spans="1:42" ht="15.75" customHeight="1" x14ac:dyDescent="0.3">
      <c r="A140" s="7"/>
      <c r="B140" s="7"/>
      <c r="C140" s="7" t="str">
        <f t="shared" si="0"/>
        <v>VBFV60GM20</v>
      </c>
      <c r="D140" s="7" t="s">
        <v>42</v>
      </c>
      <c r="E140" s="7"/>
      <c r="F140" s="8">
        <v>350</v>
      </c>
      <c r="G140" s="9" t="s">
        <v>63</v>
      </c>
      <c r="H140" s="7" t="str">
        <f>VLOOKUP(G140,'[1]Price Components'!B:C,2,0)</f>
        <v>Rajasthan</v>
      </c>
      <c r="I140" s="7" t="str">
        <f>VLOOKUP(G140,'[1]Price Components'!B:D,3,0)</f>
        <v>EX-SHOWROOM</v>
      </c>
      <c r="J140" s="10">
        <f t="shared" si="1"/>
        <v>4.2499408284023668E-2</v>
      </c>
      <c r="K140" s="11">
        <v>163052</v>
      </c>
      <c r="L140" s="12">
        <f t="shared" si="2"/>
        <v>-787.12140371155692</v>
      </c>
      <c r="M140" s="11">
        <v>162264.87859628844</v>
      </c>
      <c r="N140" s="8">
        <v>1279</v>
      </c>
      <c r="O140" s="13">
        <f>VLOOKUP(G140,'[1]Price Components'!B:E,4,0)</f>
        <v>1495</v>
      </c>
      <c r="P140" s="13">
        <f t="shared" si="3"/>
        <v>165039</v>
      </c>
      <c r="Q140" s="14">
        <f>ROUND(IF(F140&lt;500,VLOOKUP(G140,'[1]Price Components'!B:G,5,0),VLOOKUP(G140,'[1]Price Components'!B:G,6,0)),2)</f>
        <v>1472</v>
      </c>
      <c r="R140" s="11">
        <f t="shared" si="4"/>
        <v>8978</v>
      </c>
      <c r="S140" s="13">
        <v>0</v>
      </c>
      <c r="T140" s="11">
        <f t="shared" si="5"/>
        <v>8978</v>
      </c>
      <c r="U140" s="11">
        <v>292</v>
      </c>
      <c r="V140" s="13">
        <f t="shared" si="6"/>
        <v>9270</v>
      </c>
      <c r="W140" s="13">
        <f t="shared" si="7"/>
        <v>211250</v>
      </c>
      <c r="X140" s="13">
        <f t="shared" si="8"/>
        <v>175781</v>
      </c>
      <c r="Y140" s="13">
        <f t="shared" si="9"/>
        <v>49219</v>
      </c>
      <c r="Z140" s="11">
        <v>0</v>
      </c>
      <c r="AA140" s="13">
        <f t="shared" si="45"/>
        <v>225000</v>
      </c>
      <c r="AB140" s="13" t="str">
        <f t="shared" si="44"/>
        <v>C</v>
      </c>
      <c r="AC140" s="15">
        <f>IF(AB140="A",VLOOKUP($G140,'[1]Price Components'!$B:$AC,7,0),IF(AB140="B",VLOOKUP($G140,'[1]Price Components'!$B:$AC,8,0),IF(AB140="C",VLOOKUP($G140,'[1]Price Components'!$B:$AC,9,0),IF(AB140="E",15%,IF(AB140="D",VLOOKUP($G140,'[1]Price Components'!$B:$AC,10,0))))))</f>
        <v>0.13</v>
      </c>
      <c r="AD140" s="13">
        <f>ROUND(IF(AC140=0,VLOOKUP($G140,'[1]Price Components'!$B:$AC,11,0),IF(I140="BASIC",X140*AC140,AA140*AC140)),0)</f>
        <v>29250</v>
      </c>
      <c r="AE140" s="13">
        <f>ROUND(VLOOKUP($G140,'[1]Price Components'!$B:$AC,12,0),0)</f>
        <v>1350</v>
      </c>
      <c r="AF140" s="16">
        <f>VLOOKUP($G140,'[1]Price Components'!$B:$AC,14,0)</f>
        <v>7.92E-3</v>
      </c>
      <c r="AG140" s="16">
        <f>VLOOKUP($G140,'[1]Price Components'!$B:$AC,15,0)</f>
        <v>8.2979999999999998E-3</v>
      </c>
      <c r="AH140" s="13">
        <f t="shared" si="12"/>
        <v>1693</v>
      </c>
      <c r="AI140" s="13">
        <f t="shared" si="13"/>
        <v>7740</v>
      </c>
      <c r="AJ140" s="13">
        <f t="shared" si="14"/>
        <v>1698</v>
      </c>
      <c r="AK140" s="13">
        <f t="shared" si="15"/>
        <v>11131</v>
      </c>
      <c r="AL140" s="13">
        <f t="shared" si="16"/>
        <v>266731</v>
      </c>
      <c r="AM140" s="17"/>
      <c r="AN140" s="18">
        <v>225000</v>
      </c>
      <c r="AO140" s="18">
        <f t="shared" si="17"/>
        <v>0</v>
      </c>
      <c r="AP140" s="18"/>
    </row>
    <row r="141" spans="1:42" ht="15.75" customHeight="1" x14ac:dyDescent="0.3">
      <c r="A141" s="7"/>
      <c r="B141" s="7"/>
      <c r="C141" s="7" t="str">
        <f t="shared" si="0"/>
        <v>VBFV60SB20</v>
      </c>
      <c r="D141" s="7" t="s">
        <v>43</v>
      </c>
      <c r="E141" s="7"/>
      <c r="F141" s="8">
        <v>350</v>
      </c>
      <c r="G141" s="9" t="s">
        <v>63</v>
      </c>
      <c r="H141" s="7" t="str">
        <f>VLOOKUP(G141,'[1]Price Components'!B:C,2,0)</f>
        <v>Rajasthan</v>
      </c>
      <c r="I141" s="7" t="str">
        <f>VLOOKUP(G141,'[1]Price Components'!B:D,3,0)</f>
        <v>EX-SHOWROOM</v>
      </c>
      <c r="J141" s="10">
        <f t="shared" si="1"/>
        <v>4.2499408284023668E-2</v>
      </c>
      <c r="K141" s="11">
        <v>163052</v>
      </c>
      <c r="L141" s="12">
        <f t="shared" si="2"/>
        <v>-787.12140371155692</v>
      </c>
      <c r="M141" s="11">
        <v>162264.87859628844</v>
      </c>
      <c r="N141" s="8">
        <v>1279</v>
      </c>
      <c r="O141" s="13">
        <f>VLOOKUP(G141,'[1]Price Components'!B:E,4,0)</f>
        <v>1495</v>
      </c>
      <c r="P141" s="13">
        <f t="shared" si="3"/>
        <v>165039</v>
      </c>
      <c r="Q141" s="14">
        <f>ROUND(IF(F141&lt;500,VLOOKUP(G141,'[1]Price Components'!B:G,5,0),VLOOKUP(G141,'[1]Price Components'!B:G,6,0)),2)</f>
        <v>1472</v>
      </c>
      <c r="R141" s="11">
        <f t="shared" si="4"/>
        <v>8978</v>
      </c>
      <c r="S141" s="13">
        <v>0</v>
      </c>
      <c r="T141" s="11">
        <f t="shared" si="5"/>
        <v>8978</v>
      </c>
      <c r="U141" s="11">
        <v>292</v>
      </c>
      <c r="V141" s="13">
        <f t="shared" si="6"/>
        <v>9270</v>
      </c>
      <c r="W141" s="13">
        <f t="shared" si="7"/>
        <v>211250</v>
      </c>
      <c r="X141" s="13">
        <f t="shared" si="8"/>
        <v>175781</v>
      </c>
      <c r="Y141" s="13">
        <f t="shared" si="9"/>
        <v>49219</v>
      </c>
      <c r="Z141" s="11">
        <v>0</v>
      </c>
      <c r="AA141" s="13">
        <f t="shared" si="45"/>
        <v>225000</v>
      </c>
      <c r="AB141" s="13" t="str">
        <f t="shared" si="44"/>
        <v>C</v>
      </c>
      <c r="AC141" s="15">
        <f>IF(AB141="A",VLOOKUP($G141,'[1]Price Components'!$B:$AC,7,0),IF(AB141="B",VLOOKUP($G141,'[1]Price Components'!$B:$AC,8,0),IF(AB141="C",VLOOKUP($G141,'[1]Price Components'!$B:$AC,9,0),IF(AB141="E",15%,IF(AB141="D",VLOOKUP($G141,'[1]Price Components'!$B:$AC,10,0))))))</f>
        <v>0.13</v>
      </c>
      <c r="AD141" s="13">
        <f>ROUND(IF(AC141=0,VLOOKUP($G141,'[1]Price Components'!$B:$AC,11,0),IF(I141="BASIC",X141*AC141,AA141*AC141)),0)</f>
        <v>29250</v>
      </c>
      <c r="AE141" s="13">
        <f>ROUND(VLOOKUP($G141,'[1]Price Components'!$B:$AC,12,0),0)</f>
        <v>1350</v>
      </c>
      <c r="AF141" s="16">
        <f>VLOOKUP($G141,'[1]Price Components'!$B:$AC,14,0)</f>
        <v>7.92E-3</v>
      </c>
      <c r="AG141" s="16">
        <f>VLOOKUP($G141,'[1]Price Components'!$B:$AC,15,0)</f>
        <v>8.2979999999999998E-3</v>
      </c>
      <c r="AH141" s="13">
        <f t="shared" si="12"/>
        <v>1693</v>
      </c>
      <c r="AI141" s="13">
        <f t="shared" si="13"/>
        <v>7740</v>
      </c>
      <c r="AJ141" s="13">
        <f t="shared" si="14"/>
        <v>1698</v>
      </c>
      <c r="AK141" s="13">
        <f t="shared" si="15"/>
        <v>11131</v>
      </c>
      <c r="AL141" s="13">
        <f t="shared" si="16"/>
        <v>266731</v>
      </c>
      <c r="AM141" s="17"/>
      <c r="AN141" s="18">
        <v>225000</v>
      </c>
      <c r="AO141" s="18">
        <f t="shared" si="17"/>
        <v>0</v>
      </c>
      <c r="AP141" s="18"/>
    </row>
    <row r="142" spans="1:42" ht="15.75" customHeight="1" x14ac:dyDescent="0.3">
      <c r="A142" s="7"/>
      <c r="B142" s="7"/>
      <c r="C142" s="7" t="str">
        <f t="shared" si="0"/>
        <v>VBFV60SE21</v>
      </c>
      <c r="D142" s="7" t="s">
        <v>41</v>
      </c>
      <c r="E142" s="7"/>
      <c r="F142" s="8">
        <v>350</v>
      </c>
      <c r="G142" s="9" t="s">
        <v>64</v>
      </c>
      <c r="H142" s="7" t="str">
        <f>VLOOKUP(G142,'[1]Price Components'!B:C,2,0)</f>
        <v>Sikkim</v>
      </c>
      <c r="I142" s="7" t="str">
        <f>VLOOKUP(G142,'[1]Price Components'!B:D,3,0)</f>
        <v>EX-SHOWROOM</v>
      </c>
      <c r="J142" s="10">
        <f t="shared" si="1"/>
        <v>4.2497593864229112E-2</v>
      </c>
      <c r="K142" s="11">
        <v>156384</v>
      </c>
      <c r="L142" s="12">
        <f t="shared" si="2"/>
        <v>-1714.13525390625</v>
      </c>
      <c r="M142" s="11">
        <v>154669.86474609375</v>
      </c>
      <c r="N142" s="8">
        <v>1279</v>
      </c>
      <c r="O142" s="13">
        <f>VLOOKUP(G142,'[1]Price Components'!B:E,4,0)</f>
        <v>714</v>
      </c>
      <c r="P142" s="13">
        <f t="shared" si="3"/>
        <v>156663</v>
      </c>
      <c r="Q142" s="14">
        <f>ROUND(IF(F142&lt;500,VLOOKUP(G142,'[1]Price Components'!B:G,5,0),VLOOKUP(G142,'[1]Price Components'!B:G,6,0)),2)</f>
        <v>3272</v>
      </c>
      <c r="R142" s="11">
        <f t="shared" si="4"/>
        <v>8522</v>
      </c>
      <c r="S142" s="13">
        <v>0</v>
      </c>
      <c r="T142" s="11">
        <f t="shared" si="5"/>
        <v>8522</v>
      </c>
      <c r="U142" s="11">
        <v>292</v>
      </c>
      <c r="V142" s="13">
        <f t="shared" si="6"/>
        <v>8814</v>
      </c>
      <c r="W142" s="13">
        <f t="shared" si="7"/>
        <v>200529</v>
      </c>
      <c r="X142" s="13">
        <f t="shared" si="8"/>
        <v>168749</v>
      </c>
      <c r="Y142" s="13">
        <f t="shared" si="9"/>
        <v>47250</v>
      </c>
      <c r="Z142" s="11">
        <v>0</v>
      </c>
      <c r="AA142" s="13">
        <f>ROUND(X142+Y142+Z142,0)+1</f>
        <v>216000</v>
      </c>
      <c r="AB142" s="13" t="str">
        <f t="shared" si="44"/>
        <v>C</v>
      </c>
      <c r="AC142" s="15">
        <f>IF(AB142="A",VLOOKUP($G142,'[1]Price Components'!$B:$AC,7,0),IF(AB142="B",VLOOKUP($G142,'[1]Price Components'!$B:$AC,8,0),IF(AB142="C",VLOOKUP($G142,'[1]Price Components'!$B:$AC,9,0),IF(AB142="E",15%,IF(AB142="D",VLOOKUP($G142,'[1]Price Components'!$B:$AC,10,0))))))</f>
        <v>0.01</v>
      </c>
      <c r="AD142" s="13">
        <f>ROUND(IF(AC142=0,VLOOKUP($G142,'[1]Price Components'!$B:$AC,11,0),IF(I142="BASIC",X142*AC142,AA142*AC142)),0)</f>
        <v>2160</v>
      </c>
      <c r="AE142" s="13">
        <f>ROUND(VLOOKUP($G142,'[1]Price Components'!$B:$AC,12,0),0)</f>
        <v>1100</v>
      </c>
      <c r="AF142" s="16">
        <f>VLOOKUP($G142,'[1]Price Components'!$B:$AC,14,0)</f>
        <v>7.92E-3</v>
      </c>
      <c r="AG142" s="16">
        <f>VLOOKUP($G142,'[1]Price Components'!$B:$AC,15,0)</f>
        <v>8.2979999999999998E-3</v>
      </c>
      <c r="AH142" s="13">
        <f t="shared" si="12"/>
        <v>1625</v>
      </c>
      <c r="AI142" s="13">
        <f t="shared" si="13"/>
        <v>7740</v>
      </c>
      <c r="AJ142" s="13">
        <f t="shared" si="14"/>
        <v>1686</v>
      </c>
      <c r="AK142" s="13">
        <f t="shared" si="15"/>
        <v>11051</v>
      </c>
      <c r="AL142" s="13">
        <f t="shared" si="16"/>
        <v>230311</v>
      </c>
      <c r="AM142" s="17"/>
      <c r="AN142" s="18">
        <f>216000</f>
        <v>216000</v>
      </c>
      <c r="AO142" s="18">
        <f t="shared" si="17"/>
        <v>0</v>
      </c>
      <c r="AP142" s="18"/>
    </row>
    <row r="143" spans="1:42" ht="15.75" customHeight="1" x14ac:dyDescent="0.3">
      <c r="A143" s="7"/>
      <c r="B143" s="7"/>
      <c r="C143" s="7" t="str">
        <f t="shared" si="0"/>
        <v>VBFV60RR21</v>
      </c>
      <c r="D143" s="7" t="s">
        <v>37</v>
      </c>
      <c r="E143" s="7"/>
      <c r="F143" s="8">
        <v>350</v>
      </c>
      <c r="G143" s="9" t="s">
        <v>64</v>
      </c>
      <c r="H143" s="7" t="str">
        <f>VLOOKUP(G143,'[1]Price Components'!B:C,2,0)</f>
        <v>Sikkim</v>
      </c>
      <c r="I143" s="7" t="str">
        <f>VLOOKUP(G143,'[1]Price Components'!B:D,3,0)</f>
        <v>EX-SHOWROOM</v>
      </c>
      <c r="J143" s="10">
        <f t="shared" si="1"/>
        <v>4.2497606568549499E-2</v>
      </c>
      <c r="K143" s="11">
        <v>144158</v>
      </c>
      <c r="L143" s="12">
        <f t="shared" si="2"/>
        <v>-1712.7777013783634</v>
      </c>
      <c r="M143" s="11">
        <v>142445.22229862164</v>
      </c>
      <c r="N143" s="8">
        <v>1279</v>
      </c>
      <c r="O143" s="13">
        <f>VLOOKUP(G143,'[1]Price Components'!B:E,4,0)</f>
        <v>714</v>
      </c>
      <c r="P143" s="13">
        <f t="shared" si="3"/>
        <v>144438</v>
      </c>
      <c r="Q143" s="14">
        <f>ROUND(IF(F143&lt;500,VLOOKUP(G143,'[1]Price Components'!B:G,5,0),VLOOKUP(G143,'[1]Price Components'!B:G,6,0)),2)</f>
        <v>3272</v>
      </c>
      <c r="R143" s="11">
        <f t="shared" si="4"/>
        <v>7857</v>
      </c>
      <c r="S143" s="13">
        <v>0</v>
      </c>
      <c r="T143" s="11">
        <f t="shared" si="5"/>
        <v>7857</v>
      </c>
      <c r="U143" s="11">
        <v>292</v>
      </c>
      <c r="V143" s="13">
        <f t="shared" si="6"/>
        <v>8149</v>
      </c>
      <c r="W143" s="13">
        <f t="shared" si="7"/>
        <v>184881</v>
      </c>
      <c r="X143" s="13">
        <f t="shared" si="8"/>
        <v>155859</v>
      </c>
      <c r="Y143" s="13">
        <f t="shared" si="9"/>
        <v>43641</v>
      </c>
      <c r="Z143" s="11">
        <v>0</v>
      </c>
      <c r="AA143" s="13">
        <f t="shared" ref="AA143:AA147" si="46">ROUND(X143+Y143+Z143,0)</f>
        <v>199500</v>
      </c>
      <c r="AB143" s="13" t="str">
        <f t="shared" si="44"/>
        <v>B</v>
      </c>
      <c r="AC143" s="15">
        <f>IF(AB143="A",VLOOKUP($G143,'[1]Price Components'!$B:$AC,7,0),IF(AB143="B",VLOOKUP($G143,'[1]Price Components'!$B:$AC,8,0),IF(AB143="C",VLOOKUP($G143,'[1]Price Components'!$B:$AC,9,0),IF(AB143="E",15%,IF(AB143="D",VLOOKUP($G143,'[1]Price Components'!$B:$AC,10,0))))))</f>
        <v>0.01</v>
      </c>
      <c r="AD143" s="13">
        <f>ROUND(IF(AC143=0,VLOOKUP($G143,'[1]Price Components'!$B:$AC,11,0),IF(I143="BASIC",X143*AC143,AA143*AC143)),0)</f>
        <v>1995</v>
      </c>
      <c r="AE143" s="13">
        <f>ROUND(VLOOKUP($G143,'[1]Price Components'!$B:$AC,12,0),0)</f>
        <v>1100</v>
      </c>
      <c r="AF143" s="16">
        <f>VLOOKUP($G143,'[1]Price Components'!$B:$AC,14,0)</f>
        <v>7.92E-3</v>
      </c>
      <c r="AG143" s="16">
        <f>VLOOKUP($G143,'[1]Price Components'!$B:$AC,15,0)</f>
        <v>8.2979999999999998E-3</v>
      </c>
      <c r="AH143" s="13">
        <f t="shared" si="12"/>
        <v>1501</v>
      </c>
      <c r="AI143" s="13">
        <f t="shared" si="13"/>
        <v>7740</v>
      </c>
      <c r="AJ143" s="13">
        <f t="shared" si="14"/>
        <v>1663</v>
      </c>
      <c r="AK143" s="13">
        <f t="shared" si="15"/>
        <v>10904</v>
      </c>
      <c r="AL143" s="13">
        <f t="shared" si="16"/>
        <v>213499</v>
      </c>
      <c r="AM143" s="17"/>
      <c r="AN143" s="18">
        <v>199500</v>
      </c>
      <c r="AO143" s="18">
        <f t="shared" si="17"/>
        <v>0</v>
      </c>
      <c r="AP143" s="18"/>
    </row>
    <row r="144" spans="1:42" ht="15.75" customHeight="1" x14ac:dyDescent="0.3">
      <c r="A144" s="7"/>
      <c r="B144" s="7"/>
      <c r="C144" s="7" t="str">
        <f t="shared" si="0"/>
        <v>VBFV60EB21</v>
      </c>
      <c r="D144" s="7" t="s">
        <v>39</v>
      </c>
      <c r="E144" s="7"/>
      <c r="F144" s="8">
        <v>350</v>
      </c>
      <c r="G144" s="9" t="s">
        <v>64</v>
      </c>
      <c r="H144" s="7" t="str">
        <f>VLOOKUP(G144,'[1]Price Components'!B:C,2,0)</f>
        <v>Sikkim</v>
      </c>
      <c r="I144" s="7" t="str">
        <f>VLOOKUP(G144,'[1]Price Components'!B:D,3,0)</f>
        <v>EX-SHOWROOM</v>
      </c>
      <c r="J144" s="10">
        <f t="shared" si="1"/>
        <v>4.2497606568549499E-2</v>
      </c>
      <c r="K144" s="11">
        <v>144158</v>
      </c>
      <c r="L144" s="12">
        <f t="shared" si="2"/>
        <v>-1712.7777013783634</v>
      </c>
      <c r="M144" s="11">
        <v>142445.22229862164</v>
      </c>
      <c r="N144" s="8">
        <v>1279</v>
      </c>
      <c r="O144" s="13">
        <f>VLOOKUP(G144,'[1]Price Components'!B:E,4,0)</f>
        <v>714</v>
      </c>
      <c r="P144" s="13">
        <f t="shared" si="3"/>
        <v>144438</v>
      </c>
      <c r="Q144" s="14">
        <f>ROUND(IF(F144&lt;500,VLOOKUP(G144,'[1]Price Components'!B:G,5,0),VLOOKUP(G144,'[1]Price Components'!B:G,6,0)),2)</f>
        <v>3272</v>
      </c>
      <c r="R144" s="11">
        <f t="shared" si="4"/>
        <v>7857</v>
      </c>
      <c r="S144" s="13">
        <v>0</v>
      </c>
      <c r="T144" s="11">
        <f t="shared" si="5"/>
        <v>7857</v>
      </c>
      <c r="U144" s="11">
        <v>292</v>
      </c>
      <c r="V144" s="13">
        <f t="shared" si="6"/>
        <v>8149</v>
      </c>
      <c r="W144" s="13">
        <f t="shared" si="7"/>
        <v>184881</v>
      </c>
      <c r="X144" s="13">
        <f t="shared" si="8"/>
        <v>155859</v>
      </c>
      <c r="Y144" s="13">
        <f t="shared" si="9"/>
        <v>43641</v>
      </c>
      <c r="Z144" s="11">
        <v>0</v>
      </c>
      <c r="AA144" s="13">
        <f t="shared" si="46"/>
        <v>199500</v>
      </c>
      <c r="AB144" s="13" t="str">
        <f t="shared" si="44"/>
        <v>B</v>
      </c>
      <c r="AC144" s="15">
        <f>IF(AB144="A",VLOOKUP($G144,'[1]Price Components'!$B:$AC,7,0),IF(AB144="B",VLOOKUP($G144,'[1]Price Components'!$B:$AC,8,0),IF(AB144="C",VLOOKUP($G144,'[1]Price Components'!$B:$AC,9,0),IF(AB144="E",15%,IF(AB144="D",VLOOKUP($G144,'[1]Price Components'!$B:$AC,10,0))))))</f>
        <v>0.01</v>
      </c>
      <c r="AD144" s="13">
        <f>ROUND(IF(AC144=0,VLOOKUP($G144,'[1]Price Components'!$B:$AC,11,0),IF(I144="BASIC",X144*AC144,AA144*AC144)),0)</f>
        <v>1995</v>
      </c>
      <c r="AE144" s="13">
        <f>ROUND(VLOOKUP($G144,'[1]Price Components'!$B:$AC,12,0),0)</f>
        <v>1100</v>
      </c>
      <c r="AF144" s="16">
        <f>VLOOKUP($G144,'[1]Price Components'!$B:$AC,14,0)</f>
        <v>7.92E-3</v>
      </c>
      <c r="AG144" s="16">
        <f>VLOOKUP($G144,'[1]Price Components'!$B:$AC,15,0)</f>
        <v>8.2979999999999998E-3</v>
      </c>
      <c r="AH144" s="13">
        <f t="shared" si="12"/>
        <v>1501</v>
      </c>
      <c r="AI144" s="13">
        <f t="shared" si="13"/>
        <v>7740</v>
      </c>
      <c r="AJ144" s="13">
        <f t="shared" si="14"/>
        <v>1663</v>
      </c>
      <c r="AK144" s="13">
        <f t="shared" si="15"/>
        <v>10904</v>
      </c>
      <c r="AL144" s="13">
        <f t="shared" si="16"/>
        <v>213499</v>
      </c>
      <c r="AM144" s="17"/>
      <c r="AN144" s="18">
        <v>199500</v>
      </c>
      <c r="AO144" s="18">
        <f t="shared" si="17"/>
        <v>0</v>
      </c>
      <c r="AP144" s="18"/>
    </row>
    <row r="145" spans="1:42" ht="15.75" customHeight="1" x14ac:dyDescent="0.3">
      <c r="A145" s="7"/>
      <c r="B145" s="7"/>
      <c r="C145" s="7" t="str">
        <f t="shared" si="0"/>
        <v>VBFV60HG21</v>
      </c>
      <c r="D145" s="7" t="s">
        <v>40</v>
      </c>
      <c r="E145" s="7"/>
      <c r="F145" s="8">
        <v>350</v>
      </c>
      <c r="G145" s="9" t="s">
        <v>64</v>
      </c>
      <c r="H145" s="7" t="str">
        <f>VLOOKUP(G145,'[1]Price Components'!B:C,2,0)</f>
        <v>Sikkim</v>
      </c>
      <c r="I145" s="7" t="str">
        <f>VLOOKUP(G145,'[1]Price Components'!B:D,3,0)</f>
        <v>EX-SHOWROOM</v>
      </c>
      <c r="J145" s="10">
        <f t="shared" si="1"/>
        <v>4.2501110241715483E-2</v>
      </c>
      <c r="K145" s="11">
        <v>147492</v>
      </c>
      <c r="L145" s="12">
        <f t="shared" si="2"/>
        <v>-1712.7147363134136</v>
      </c>
      <c r="M145" s="11">
        <v>145779.28526368659</v>
      </c>
      <c r="N145" s="8">
        <v>1279</v>
      </c>
      <c r="O145" s="13">
        <f>VLOOKUP(G145,'[1]Price Components'!B:E,4,0)</f>
        <v>714</v>
      </c>
      <c r="P145" s="13">
        <f t="shared" si="3"/>
        <v>147772</v>
      </c>
      <c r="Q145" s="14">
        <f>ROUND(IF(F145&lt;500,VLOOKUP(G145,'[1]Price Components'!B:G,5,0),VLOOKUP(G145,'[1]Price Components'!B:G,6,0)),2)</f>
        <v>3272</v>
      </c>
      <c r="R145" s="11">
        <f t="shared" si="4"/>
        <v>8039</v>
      </c>
      <c r="S145" s="13">
        <v>0</v>
      </c>
      <c r="T145" s="11">
        <f t="shared" si="5"/>
        <v>8039</v>
      </c>
      <c r="U145" s="11">
        <v>292</v>
      </c>
      <c r="V145" s="13">
        <f t="shared" si="6"/>
        <v>8331</v>
      </c>
      <c r="W145" s="13">
        <f t="shared" si="7"/>
        <v>189148</v>
      </c>
      <c r="X145" s="13">
        <f t="shared" si="8"/>
        <v>159375</v>
      </c>
      <c r="Y145" s="13">
        <f t="shared" si="9"/>
        <v>44625</v>
      </c>
      <c r="Z145" s="11">
        <v>0</v>
      </c>
      <c r="AA145" s="13">
        <f t="shared" si="46"/>
        <v>204000</v>
      </c>
      <c r="AB145" s="13" t="str">
        <f t="shared" si="44"/>
        <v>C</v>
      </c>
      <c r="AC145" s="15">
        <f>IF(AB145="A",VLOOKUP($G145,'[1]Price Components'!$B:$AC,7,0),IF(AB145="B",VLOOKUP($G145,'[1]Price Components'!$B:$AC,8,0),IF(AB145="C",VLOOKUP($G145,'[1]Price Components'!$B:$AC,9,0),IF(AB145="E",15%,IF(AB145="D",VLOOKUP($G145,'[1]Price Components'!$B:$AC,10,0))))))</f>
        <v>0.01</v>
      </c>
      <c r="AD145" s="13">
        <f>ROUND(IF(AC145=0,VLOOKUP($G145,'[1]Price Components'!$B:$AC,11,0),IF(I145="BASIC",X145*AC145,AA145*AC145)),0)</f>
        <v>2040</v>
      </c>
      <c r="AE145" s="13">
        <f>ROUND(VLOOKUP($G145,'[1]Price Components'!$B:$AC,12,0),0)</f>
        <v>1100</v>
      </c>
      <c r="AF145" s="16">
        <f>VLOOKUP($G145,'[1]Price Components'!$B:$AC,14,0)</f>
        <v>7.92E-3</v>
      </c>
      <c r="AG145" s="16">
        <f>VLOOKUP($G145,'[1]Price Components'!$B:$AC,15,0)</f>
        <v>8.2979999999999998E-3</v>
      </c>
      <c r="AH145" s="13">
        <f t="shared" si="12"/>
        <v>1535</v>
      </c>
      <c r="AI145" s="13">
        <f t="shared" si="13"/>
        <v>7740</v>
      </c>
      <c r="AJ145" s="13">
        <f t="shared" si="14"/>
        <v>1670</v>
      </c>
      <c r="AK145" s="13">
        <f t="shared" si="15"/>
        <v>10945</v>
      </c>
      <c r="AL145" s="13">
        <f t="shared" si="16"/>
        <v>218085</v>
      </c>
      <c r="AM145" s="17"/>
      <c r="AN145" s="18">
        <v>204000</v>
      </c>
      <c r="AO145" s="18">
        <f t="shared" si="17"/>
        <v>0</v>
      </c>
      <c r="AP145" s="18"/>
    </row>
    <row r="146" spans="1:42" ht="15.75" customHeight="1" x14ac:dyDescent="0.3">
      <c r="A146" s="7"/>
      <c r="B146" s="7"/>
      <c r="C146" s="7" t="str">
        <f t="shared" si="0"/>
        <v>VBFV60GM21</v>
      </c>
      <c r="D146" s="7" t="s">
        <v>42</v>
      </c>
      <c r="E146" s="7"/>
      <c r="F146" s="8">
        <v>350</v>
      </c>
      <c r="G146" s="9" t="s">
        <v>64</v>
      </c>
      <c r="H146" s="7" t="str">
        <f>VLOOKUP(G146,'[1]Price Components'!B:C,2,0)</f>
        <v>Sikkim</v>
      </c>
      <c r="I146" s="7" t="str">
        <f>VLOOKUP(G146,'[1]Price Components'!B:D,3,0)</f>
        <v>EX-SHOWROOM</v>
      </c>
      <c r="J146" s="10">
        <f t="shared" si="1"/>
        <v>4.2498744409633367E-2</v>
      </c>
      <c r="K146" s="11">
        <v>163052</v>
      </c>
      <c r="L146" s="12">
        <f t="shared" si="2"/>
        <v>-1712.7871454545239</v>
      </c>
      <c r="M146" s="11">
        <v>161339.21285454548</v>
      </c>
      <c r="N146" s="8">
        <v>1279</v>
      </c>
      <c r="O146" s="13">
        <f>VLOOKUP(G146,'[1]Price Components'!B:E,4,0)</f>
        <v>714</v>
      </c>
      <c r="P146" s="13">
        <f t="shared" si="3"/>
        <v>163332</v>
      </c>
      <c r="Q146" s="14">
        <f>ROUND(IF(F146&lt;500,VLOOKUP(G146,'[1]Price Components'!B:G,5,0),VLOOKUP(G146,'[1]Price Components'!B:G,6,0)),2)</f>
        <v>3272</v>
      </c>
      <c r="R146" s="11">
        <f t="shared" si="4"/>
        <v>8885</v>
      </c>
      <c r="S146" s="13">
        <v>0</v>
      </c>
      <c r="T146" s="11">
        <f t="shared" si="5"/>
        <v>8885</v>
      </c>
      <c r="U146" s="11">
        <v>292</v>
      </c>
      <c r="V146" s="13">
        <f t="shared" si="6"/>
        <v>9177</v>
      </c>
      <c r="W146" s="13">
        <f t="shared" si="7"/>
        <v>209065</v>
      </c>
      <c r="X146" s="13">
        <f t="shared" si="8"/>
        <v>175781</v>
      </c>
      <c r="Y146" s="13">
        <f t="shared" si="9"/>
        <v>49219</v>
      </c>
      <c r="Z146" s="11">
        <v>0</v>
      </c>
      <c r="AA146" s="13">
        <f t="shared" si="46"/>
        <v>225000</v>
      </c>
      <c r="AB146" s="13" t="str">
        <f t="shared" si="44"/>
        <v>C</v>
      </c>
      <c r="AC146" s="15">
        <f>IF(AB146="A",VLOOKUP($G146,'[1]Price Components'!$B:$AC,7,0),IF(AB146="B",VLOOKUP($G146,'[1]Price Components'!$B:$AC,8,0),IF(AB146="C",VLOOKUP($G146,'[1]Price Components'!$B:$AC,9,0),IF(AB146="E",15%,IF(AB146="D",VLOOKUP($G146,'[1]Price Components'!$B:$AC,10,0))))))</f>
        <v>0.01</v>
      </c>
      <c r="AD146" s="13">
        <f>ROUND(IF(AC146=0,VLOOKUP($G146,'[1]Price Components'!$B:$AC,11,0),IF(I146="BASIC",X146*AC146,AA146*AC146)),0)</f>
        <v>2250</v>
      </c>
      <c r="AE146" s="13">
        <f>ROUND(VLOOKUP($G146,'[1]Price Components'!$B:$AC,12,0),0)</f>
        <v>1100</v>
      </c>
      <c r="AF146" s="16">
        <f>VLOOKUP($G146,'[1]Price Components'!$B:$AC,14,0)</f>
        <v>7.92E-3</v>
      </c>
      <c r="AG146" s="16">
        <f>VLOOKUP($G146,'[1]Price Components'!$B:$AC,15,0)</f>
        <v>8.2979999999999998E-3</v>
      </c>
      <c r="AH146" s="13">
        <f t="shared" si="12"/>
        <v>1693</v>
      </c>
      <c r="AI146" s="13">
        <f t="shared" si="13"/>
        <v>7740</v>
      </c>
      <c r="AJ146" s="13">
        <f t="shared" si="14"/>
        <v>1698</v>
      </c>
      <c r="AK146" s="13">
        <f t="shared" si="15"/>
        <v>11131</v>
      </c>
      <c r="AL146" s="13">
        <f t="shared" si="16"/>
        <v>239481</v>
      </c>
      <c r="AM146" s="17"/>
      <c r="AN146" s="18">
        <v>225000</v>
      </c>
      <c r="AO146" s="18">
        <f t="shared" si="17"/>
        <v>0</v>
      </c>
      <c r="AP146" s="18"/>
    </row>
    <row r="147" spans="1:42" ht="15.75" customHeight="1" x14ac:dyDescent="0.3">
      <c r="A147" s="7"/>
      <c r="B147" s="7"/>
      <c r="C147" s="7" t="str">
        <f t="shared" si="0"/>
        <v>VBFV60SB21</v>
      </c>
      <c r="D147" s="7" t="s">
        <v>43</v>
      </c>
      <c r="E147" s="7"/>
      <c r="F147" s="8">
        <v>350</v>
      </c>
      <c r="G147" s="9" t="s">
        <v>64</v>
      </c>
      <c r="H147" s="7" t="str">
        <f>VLOOKUP(G147,'[1]Price Components'!B:C,2,0)</f>
        <v>Sikkim</v>
      </c>
      <c r="I147" s="7" t="str">
        <f>VLOOKUP(G147,'[1]Price Components'!B:D,3,0)</f>
        <v>EX-SHOWROOM</v>
      </c>
      <c r="J147" s="10">
        <f t="shared" si="1"/>
        <v>4.2498744409633367E-2</v>
      </c>
      <c r="K147" s="11">
        <v>163052</v>
      </c>
      <c r="L147" s="12">
        <f t="shared" si="2"/>
        <v>-1712.7871454545239</v>
      </c>
      <c r="M147" s="11">
        <v>161339.21285454548</v>
      </c>
      <c r="N147" s="8">
        <v>1279</v>
      </c>
      <c r="O147" s="13">
        <f>VLOOKUP(G147,'[1]Price Components'!B:E,4,0)</f>
        <v>714</v>
      </c>
      <c r="P147" s="13">
        <f t="shared" si="3"/>
        <v>163332</v>
      </c>
      <c r="Q147" s="14">
        <f>ROUND(IF(F147&lt;500,VLOOKUP(G147,'[1]Price Components'!B:G,5,0),VLOOKUP(G147,'[1]Price Components'!B:G,6,0)),2)</f>
        <v>3272</v>
      </c>
      <c r="R147" s="11">
        <f t="shared" si="4"/>
        <v>8885</v>
      </c>
      <c r="S147" s="13">
        <v>0</v>
      </c>
      <c r="T147" s="11">
        <f t="shared" si="5"/>
        <v>8885</v>
      </c>
      <c r="U147" s="11">
        <v>292</v>
      </c>
      <c r="V147" s="13">
        <f t="shared" si="6"/>
        <v>9177</v>
      </c>
      <c r="W147" s="13">
        <f t="shared" si="7"/>
        <v>209065</v>
      </c>
      <c r="X147" s="13">
        <f t="shared" si="8"/>
        <v>175781</v>
      </c>
      <c r="Y147" s="13">
        <f t="shared" si="9"/>
        <v>49219</v>
      </c>
      <c r="Z147" s="11">
        <v>0</v>
      </c>
      <c r="AA147" s="13">
        <f t="shared" si="46"/>
        <v>225000</v>
      </c>
      <c r="AB147" s="13" t="str">
        <f t="shared" si="44"/>
        <v>C</v>
      </c>
      <c r="AC147" s="15">
        <f>IF(AB147="A",VLOOKUP($G147,'[1]Price Components'!$B:$AC,7,0),IF(AB147="B",VLOOKUP($G147,'[1]Price Components'!$B:$AC,8,0),IF(AB147="C",VLOOKUP($G147,'[1]Price Components'!$B:$AC,9,0),IF(AB147="E",15%,IF(AB147="D",VLOOKUP($G147,'[1]Price Components'!$B:$AC,10,0))))))</f>
        <v>0.01</v>
      </c>
      <c r="AD147" s="13">
        <f>ROUND(IF(AC147=0,VLOOKUP($G147,'[1]Price Components'!$B:$AC,11,0),IF(I147="BASIC",X147*AC147,AA147*AC147)),0)</f>
        <v>2250</v>
      </c>
      <c r="AE147" s="13">
        <f>ROUND(VLOOKUP($G147,'[1]Price Components'!$B:$AC,12,0),0)</f>
        <v>1100</v>
      </c>
      <c r="AF147" s="16">
        <f>VLOOKUP($G147,'[1]Price Components'!$B:$AC,14,0)</f>
        <v>7.92E-3</v>
      </c>
      <c r="AG147" s="16">
        <f>VLOOKUP($G147,'[1]Price Components'!$B:$AC,15,0)</f>
        <v>8.2979999999999998E-3</v>
      </c>
      <c r="AH147" s="13">
        <f t="shared" si="12"/>
        <v>1693</v>
      </c>
      <c r="AI147" s="13">
        <f t="shared" si="13"/>
        <v>7740</v>
      </c>
      <c r="AJ147" s="13">
        <f t="shared" si="14"/>
        <v>1698</v>
      </c>
      <c r="AK147" s="13">
        <f t="shared" si="15"/>
        <v>11131</v>
      </c>
      <c r="AL147" s="13">
        <f t="shared" si="16"/>
        <v>239481</v>
      </c>
      <c r="AM147" s="17"/>
      <c r="AN147" s="18">
        <v>225000</v>
      </c>
      <c r="AO147" s="18">
        <f t="shared" si="17"/>
        <v>0</v>
      </c>
      <c r="AP147" s="18"/>
    </row>
    <row r="148" spans="1:42" ht="15.75" customHeight="1" x14ac:dyDescent="0.3">
      <c r="A148" s="7"/>
      <c r="B148" s="7"/>
      <c r="C148" s="7" t="str">
        <f t="shared" si="0"/>
        <v>VBFV60DN21</v>
      </c>
      <c r="D148" s="7" t="s">
        <v>44</v>
      </c>
      <c r="E148" s="7"/>
      <c r="F148" s="8">
        <v>350</v>
      </c>
      <c r="G148" s="9" t="s">
        <v>64</v>
      </c>
      <c r="H148" s="7" t="str">
        <f>VLOOKUP(G148,'[1]Price Components'!B:C,2,0)</f>
        <v>Sikkim</v>
      </c>
      <c r="I148" s="7" t="str">
        <f>VLOOKUP(G148,'[1]Price Components'!B:D,3,0)</f>
        <v>EX-SHOWROOM</v>
      </c>
      <c r="J148" s="10">
        <f t="shared" si="1"/>
        <v>4.2501145898618371E-2</v>
      </c>
      <c r="K148" s="11">
        <v>166757</v>
      </c>
      <c r="L148" s="12">
        <f t="shared" si="2"/>
        <v>-1713.5129204603436</v>
      </c>
      <c r="M148" s="11">
        <v>165043.48707953966</v>
      </c>
      <c r="N148" s="8">
        <v>1279</v>
      </c>
      <c r="O148" s="13">
        <f>VLOOKUP(G148,'[1]Price Components'!B:E,4,0)</f>
        <v>714</v>
      </c>
      <c r="P148" s="13">
        <f t="shared" si="3"/>
        <v>167036</v>
      </c>
      <c r="Q148" s="14">
        <f>ROUND(IF(F148&lt;500,VLOOKUP(G148,'[1]Price Components'!B:G,5,0),VLOOKUP(G148,'[1]Price Components'!B:G,6,0)),2)</f>
        <v>3272</v>
      </c>
      <c r="R148" s="11">
        <f t="shared" si="4"/>
        <v>9087</v>
      </c>
      <c r="S148" s="13">
        <v>0</v>
      </c>
      <c r="T148" s="11">
        <f t="shared" si="5"/>
        <v>9087</v>
      </c>
      <c r="U148" s="11">
        <v>292</v>
      </c>
      <c r="V148" s="13">
        <f t="shared" si="6"/>
        <v>9379</v>
      </c>
      <c r="W148" s="13">
        <f t="shared" si="7"/>
        <v>213806</v>
      </c>
      <c r="X148" s="13">
        <f t="shared" si="8"/>
        <v>179687</v>
      </c>
      <c r="Y148" s="13">
        <f t="shared" si="9"/>
        <v>50312</v>
      </c>
      <c r="Z148" s="11">
        <v>0</v>
      </c>
      <c r="AA148" s="13">
        <f>ROUND(X148+Y148+Z148,0)+1</f>
        <v>230000</v>
      </c>
      <c r="AB148" s="13" t="str">
        <f t="shared" si="44"/>
        <v>C</v>
      </c>
      <c r="AC148" s="15">
        <f>IF(AB148="A",VLOOKUP($G148,'[1]Price Components'!$B:$AC,7,0),IF(AB148="B",VLOOKUP($G148,'[1]Price Components'!$B:$AC,8,0),IF(AB148="C",VLOOKUP($G148,'[1]Price Components'!$B:$AC,9,0),IF(AB148="E",15%,IF(AB148="D",VLOOKUP($G148,'[1]Price Components'!$B:$AC,10,0))))))</f>
        <v>0.01</v>
      </c>
      <c r="AD148" s="13">
        <f>ROUND(IF(AC148=0,VLOOKUP($G148,'[1]Price Components'!$B:$AC,11,0),IF(I148="BASIC",X148*AC148,AA148*AC148)),0)</f>
        <v>2300</v>
      </c>
      <c r="AE148" s="13">
        <f>ROUND(VLOOKUP($G148,'[1]Price Components'!$B:$AC,12,0),0)</f>
        <v>1100</v>
      </c>
      <c r="AF148" s="16">
        <f>VLOOKUP($G148,'[1]Price Components'!$B:$AC,14,0)</f>
        <v>7.92E-3</v>
      </c>
      <c r="AG148" s="16">
        <f>VLOOKUP($G148,'[1]Price Components'!$B:$AC,15,0)</f>
        <v>8.2979999999999998E-3</v>
      </c>
      <c r="AH148" s="13">
        <f t="shared" si="12"/>
        <v>1731</v>
      </c>
      <c r="AI148" s="13">
        <f t="shared" si="13"/>
        <v>7740</v>
      </c>
      <c r="AJ148" s="13">
        <f t="shared" si="14"/>
        <v>1705</v>
      </c>
      <c r="AK148" s="13">
        <f t="shared" si="15"/>
        <v>11176</v>
      </c>
      <c r="AL148" s="13">
        <f t="shared" si="16"/>
        <v>244576</v>
      </c>
      <c r="AM148" s="17"/>
      <c r="AN148" s="18">
        <v>230000</v>
      </c>
      <c r="AO148" s="18">
        <f t="shared" si="17"/>
        <v>0</v>
      </c>
      <c r="AP148" s="18"/>
    </row>
    <row r="149" spans="1:42" ht="15.75" customHeight="1" x14ac:dyDescent="0.3">
      <c r="A149" s="7"/>
      <c r="B149" s="7"/>
      <c r="C149" s="7" t="str">
        <f t="shared" si="0"/>
        <v>VBFV60RR22</v>
      </c>
      <c r="D149" s="7" t="s">
        <v>37</v>
      </c>
      <c r="E149" s="7"/>
      <c r="F149" s="8">
        <v>350</v>
      </c>
      <c r="G149" s="9" t="s">
        <v>65</v>
      </c>
      <c r="H149" s="7" t="str">
        <f>VLOOKUP(G149,'[1]Price Components'!B:C,2,0)</f>
        <v>Tamil Nadu</v>
      </c>
      <c r="I149" s="7" t="str">
        <f>VLOOKUP(G149,'[1]Price Components'!B:D,3,0)</f>
        <v>EX-SHOWROOM</v>
      </c>
      <c r="J149" s="10">
        <f t="shared" si="1"/>
        <v>4.2498063413200844E-2</v>
      </c>
      <c r="K149" s="11">
        <v>144158</v>
      </c>
      <c r="L149" s="12">
        <f t="shared" si="2"/>
        <v>0.74041088853846304</v>
      </c>
      <c r="M149" s="11">
        <v>144158.74041088854</v>
      </c>
      <c r="N149" s="8">
        <v>1279</v>
      </c>
      <c r="O149" s="13">
        <f>VLOOKUP(G149,'[1]Price Components'!B:E,4,0)</f>
        <v>800</v>
      </c>
      <c r="P149" s="13">
        <f t="shared" si="3"/>
        <v>146238</v>
      </c>
      <c r="Q149" s="14">
        <f>ROUND(IF(F149&lt;500,VLOOKUP(G149,'[1]Price Components'!B:G,5,0),VLOOKUP(G149,'[1]Price Components'!B:G,6,0)),2)</f>
        <v>1374.5</v>
      </c>
      <c r="R149" s="11">
        <f t="shared" si="4"/>
        <v>7955</v>
      </c>
      <c r="S149" s="13">
        <v>0</v>
      </c>
      <c r="T149" s="11">
        <f t="shared" si="5"/>
        <v>7955</v>
      </c>
      <c r="U149" s="11">
        <v>292</v>
      </c>
      <c r="V149" s="13">
        <f t="shared" si="6"/>
        <v>8247</v>
      </c>
      <c r="W149" s="13">
        <f t="shared" si="7"/>
        <v>187185</v>
      </c>
      <c r="X149" s="13">
        <f t="shared" si="8"/>
        <v>155859.5</v>
      </c>
      <c r="Y149" s="13">
        <f t="shared" si="9"/>
        <v>43641</v>
      </c>
      <c r="Z149" s="11">
        <v>0</v>
      </c>
      <c r="AA149" s="13">
        <f t="shared" ref="AA149:AA150" si="47">ROUND(X149+Y149+Z149,0)-1</f>
        <v>199500</v>
      </c>
      <c r="AB149" s="13" t="str">
        <f t="shared" si="44"/>
        <v>B</v>
      </c>
      <c r="AC149" s="15">
        <f>IF(AB149="A",VLOOKUP($G149,'[1]Price Components'!$B:$AC,7,0),IF(AB149="B",VLOOKUP($G149,'[1]Price Components'!$B:$AC,8,0),IF(AB149="C",VLOOKUP($G149,'[1]Price Components'!$B:$AC,9,0),IF(AB149="E",15%,IF(AB149="D",VLOOKUP($G149,'[1]Price Components'!$B:$AC,10,0))))))</f>
        <v>0.12</v>
      </c>
      <c r="AD149" s="13">
        <f>ROUND(IF(AC149=0,VLOOKUP($G149,'[1]Price Components'!$B:$AC,11,0),IF(I149="BASIC",X149*AC149,AA149*AC149)),0)</f>
        <v>23940</v>
      </c>
      <c r="AE149" s="13">
        <f>ROUND(VLOOKUP($G149,'[1]Price Components'!$B:$AC,12,0),0)</f>
        <v>1025</v>
      </c>
      <c r="AF149" s="16">
        <f>VLOOKUP($G149,'[1]Price Components'!$B:$AC,14,0)</f>
        <v>8.0599999999999995E-3</v>
      </c>
      <c r="AG149" s="16">
        <f>VLOOKUP($G149,'[1]Price Components'!$B:$AC,15,0)</f>
        <v>8.456E-3</v>
      </c>
      <c r="AH149" s="13">
        <f t="shared" si="12"/>
        <v>1528</v>
      </c>
      <c r="AI149" s="13">
        <f t="shared" si="13"/>
        <v>7740</v>
      </c>
      <c r="AJ149" s="13">
        <f t="shared" si="14"/>
        <v>1668</v>
      </c>
      <c r="AK149" s="13">
        <f t="shared" si="15"/>
        <v>10936</v>
      </c>
      <c r="AL149" s="13">
        <f t="shared" si="16"/>
        <v>235401</v>
      </c>
      <c r="AM149" s="17"/>
      <c r="AN149" s="18">
        <v>199500</v>
      </c>
      <c r="AO149" s="18">
        <f t="shared" si="17"/>
        <v>0</v>
      </c>
      <c r="AP149" s="18"/>
    </row>
    <row r="150" spans="1:42" ht="15.75" customHeight="1" x14ac:dyDescent="0.3">
      <c r="A150" s="7"/>
      <c r="B150" s="7"/>
      <c r="C150" s="7" t="str">
        <f t="shared" si="0"/>
        <v>VBFV60EB22</v>
      </c>
      <c r="D150" s="7" t="s">
        <v>39</v>
      </c>
      <c r="E150" s="7"/>
      <c r="F150" s="8">
        <v>350</v>
      </c>
      <c r="G150" s="9" t="s">
        <v>65</v>
      </c>
      <c r="H150" s="7" t="str">
        <f>VLOOKUP(G150,'[1]Price Components'!B:C,2,0)</f>
        <v>Tamil Nadu</v>
      </c>
      <c r="I150" s="7" t="str">
        <f>VLOOKUP(G150,'[1]Price Components'!B:D,3,0)</f>
        <v>EX-SHOWROOM</v>
      </c>
      <c r="J150" s="10">
        <f t="shared" si="1"/>
        <v>4.2498063413200844E-2</v>
      </c>
      <c r="K150" s="11">
        <v>144158</v>
      </c>
      <c r="L150" s="12">
        <f t="shared" si="2"/>
        <v>0.74041088853846304</v>
      </c>
      <c r="M150" s="11">
        <v>144158.74041088854</v>
      </c>
      <c r="N150" s="8">
        <v>1279</v>
      </c>
      <c r="O150" s="13">
        <f>VLOOKUP(G150,'[1]Price Components'!B:E,4,0)</f>
        <v>800</v>
      </c>
      <c r="P150" s="13">
        <f t="shared" si="3"/>
        <v>146238</v>
      </c>
      <c r="Q150" s="14">
        <f>ROUND(IF(F150&lt;500,VLOOKUP(G150,'[1]Price Components'!B:G,5,0),VLOOKUP(G150,'[1]Price Components'!B:G,6,0)),2)</f>
        <v>1374.5</v>
      </c>
      <c r="R150" s="11">
        <f t="shared" si="4"/>
        <v>7955</v>
      </c>
      <c r="S150" s="13">
        <v>0</v>
      </c>
      <c r="T150" s="11">
        <f t="shared" si="5"/>
        <v>7955</v>
      </c>
      <c r="U150" s="11">
        <v>292</v>
      </c>
      <c r="V150" s="13">
        <f t="shared" si="6"/>
        <v>8247</v>
      </c>
      <c r="W150" s="13">
        <f t="shared" si="7"/>
        <v>187185</v>
      </c>
      <c r="X150" s="13">
        <f t="shared" si="8"/>
        <v>155859.5</v>
      </c>
      <c r="Y150" s="13">
        <f t="shared" si="9"/>
        <v>43641</v>
      </c>
      <c r="Z150" s="11">
        <v>0</v>
      </c>
      <c r="AA150" s="13">
        <f t="shared" si="47"/>
        <v>199500</v>
      </c>
      <c r="AB150" s="13" t="str">
        <f t="shared" si="44"/>
        <v>B</v>
      </c>
      <c r="AC150" s="15">
        <f>IF(AB150="A",VLOOKUP($G150,'[1]Price Components'!$B:$AC,7,0),IF(AB150="B",VLOOKUP($G150,'[1]Price Components'!$B:$AC,8,0),IF(AB150="C",VLOOKUP($G150,'[1]Price Components'!$B:$AC,9,0),IF(AB150="E",15%,IF(AB150="D",VLOOKUP($G150,'[1]Price Components'!$B:$AC,10,0))))))</f>
        <v>0.12</v>
      </c>
      <c r="AD150" s="13">
        <f>ROUND(IF(AC150=0,VLOOKUP($G150,'[1]Price Components'!$B:$AC,11,0),IF(I150="BASIC",X150*AC150,AA150*AC150)),0)</f>
        <v>23940</v>
      </c>
      <c r="AE150" s="13">
        <f>ROUND(VLOOKUP($G150,'[1]Price Components'!$B:$AC,12,0),0)</f>
        <v>1025</v>
      </c>
      <c r="AF150" s="16">
        <f>VLOOKUP($G150,'[1]Price Components'!$B:$AC,14,0)</f>
        <v>8.0599999999999995E-3</v>
      </c>
      <c r="AG150" s="16">
        <f>VLOOKUP($G150,'[1]Price Components'!$B:$AC,15,0)</f>
        <v>8.456E-3</v>
      </c>
      <c r="AH150" s="13">
        <f t="shared" si="12"/>
        <v>1528</v>
      </c>
      <c r="AI150" s="13">
        <f t="shared" si="13"/>
        <v>7740</v>
      </c>
      <c r="AJ150" s="13">
        <f t="shared" si="14"/>
        <v>1668</v>
      </c>
      <c r="AK150" s="13">
        <f t="shared" si="15"/>
        <v>10936</v>
      </c>
      <c r="AL150" s="13">
        <f t="shared" si="16"/>
        <v>235401</v>
      </c>
      <c r="AM150" s="17"/>
      <c r="AN150" s="18">
        <v>199500</v>
      </c>
      <c r="AO150" s="18">
        <f t="shared" si="17"/>
        <v>0</v>
      </c>
      <c r="AP150" s="18"/>
    </row>
    <row r="151" spans="1:42" ht="15.75" customHeight="1" x14ac:dyDescent="0.3">
      <c r="A151" s="7"/>
      <c r="B151" s="7"/>
      <c r="C151" s="7" t="str">
        <f t="shared" si="0"/>
        <v>VBFV60HG22</v>
      </c>
      <c r="D151" s="7" t="s">
        <v>40</v>
      </c>
      <c r="E151" s="7"/>
      <c r="F151" s="8">
        <v>350</v>
      </c>
      <c r="G151" s="9" t="s">
        <v>65</v>
      </c>
      <c r="H151" s="7" t="str">
        <f>VLOOKUP(G151,'[1]Price Components'!B:C,2,0)</f>
        <v>Tamil Nadu</v>
      </c>
      <c r="I151" s="7" t="str">
        <f>VLOOKUP(G151,'[1]Price Components'!B:D,3,0)</f>
        <v>EX-SHOWROOM</v>
      </c>
      <c r="J151" s="10">
        <f t="shared" si="1"/>
        <v>4.2501736736815163E-2</v>
      </c>
      <c r="K151" s="11">
        <v>147492</v>
      </c>
      <c r="L151" s="12">
        <f t="shared" si="2"/>
        <v>0</v>
      </c>
      <c r="M151" s="11">
        <v>147492</v>
      </c>
      <c r="N151" s="8">
        <v>1279</v>
      </c>
      <c r="O151" s="13">
        <f>VLOOKUP(G151,'[1]Price Components'!B:E,4,0)</f>
        <v>800</v>
      </c>
      <c r="P151" s="13">
        <f t="shared" si="3"/>
        <v>149571</v>
      </c>
      <c r="Q151" s="14">
        <f>ROUND(IF(F151&lt;500,VLOOKUP(G151,'[1]Price Components'!B:G,5,0),VLOOKUP(G151,'[1]Price Components'!B:G,6,0)),2)</f>
        <v>1374.5</v>
      </c>
      <c r="R151" s="11">
        <f t="shared" si="4"/>
        <v>8137</v>
      </c>
      <c r="S151" s="13">
        <v>0</v>
      </c>
      <c r="T151" s="11">
        <f t="shared" si="5"/>
        <v>8137</v>
      </c>
      <c r="U151" s="11">
        <v>292</v>
      </c>
      <c r="V151" s="13">
        <f t="shared" si="6"/>
        <v>8429</v>
      </c>
      <c r="W151" s="13">
        <f t="shared" si="7"/>
        <v>191451</v>
      </c>
      <c r="X151" s="13">
        <f t="shared" si="8"/>
        <v>159374.5</v>
      </c>
      <c r="Y151" s="13">
        <f t="shared" si="9"/>
        <v>44625</v>
      </c>
      <c r="Z151" s="11">
        <v>0</v>
      </c>
      <c r="AA151" s="13">
        <f t="shared" ref="AA151:AA154" si="48">ROUND(X151+Y151+Z151,0)</f>
        <v>204000</v>
      </c>
      <c r="AB151" s="13" t="str">
        <f t="shared" si="44"/>
        <v>C</v>
      </c>
      <c r="AC151" s="15">
        <f>IF(AB151="A",VLOOKUP($G151,'[1]Price Components'!$B:$AC,7,0),IF(AB151="B",VLOOKUP($G151,'[1]Price Components'!$B:$AC,8,0),IF(AB151="C",VLOOKUP($G151,'[1]Price Components'!$B:$AC,9,0),IF(AB151="E",15%,IF(AB151="D",VLOOKUP($G151,'[1]Price Components'!$B:$AC,10,0))))))</f>
        <v>0.12</v>
      </c>
      <c r="AD151" s="13">
        <f>ROUND(IF(AC151=0,VLOOKUP($G151,'[1]Price Components'!$B:$AC,11,0),IF(I151="BASIC",X151*AC151,AA151*AC151)),0)</f>
        <v>24480</v>
      </c>
      <c r="AE151" s="13">
        <f>ROUND(VLOOKUP($G151,'[1]Price Components'!$B:$AC,12,0),0)</f>
        <v>1025</v>
      </c>
      <c r="AF151" s="16">
        <f>VLOOKUP($G151,'[1]Price Components'!$B:$AC,14,0)</f>
        <v>8.0599999999999995E-3</v>
      </c>
      <c r="AG151" s="16">
        <f>VLOOKUP($G151,'[1]Price Components'!$B:$AC,15,0)</f>
        <v>8.456E-3</v>
      </c>
      <c r="AH151" s="13">
        <f t="shared" si="12"/>
        <v>1562</v>
      </c>
      <c r="AI151" s="13">
        <f t="shared" si="13"/>
        <v>7740</v>
      </c>
      <c r="AJ151" s="13">
        <f t="shared" si="14"/>
        <v>1674</v>
      </c>
      <c r="AK151" s="13">
        <f t="shared" si="15"/>
        <v>10976</v>
      </c>
      <c r="AL151" s="13">
        <f t="shared" si="16"/>
        <v>240481</v>
      </c>
      <c r="AM151" s="17"/>
      <c r="AN151" s="18">
        <v>204000</v>
      </c>
      <c r="AO151" s="18">
        <f t="shared" si="17"/>
        <v>0</v>
      </c>
      <c r="AP151" s="18"/>
    </row>
    <row r="152" spans="1:42" ht="15.75" customHeight="1" x14ac:dyDescent="0.3">
      <c r="A152" s="7"/>
      <c r="B152" s="7"/>
      <c r="C152" s="7" t="str">
        <f t="shared" si="0"/>
        <v>VBFV60SE22</v>
      </c>
      <c r="D152" s="7" t="s">
        <v>41</v>
      </c>
      <c r="E152" s="7"/>
      <c r="F152" s="8">
        <v>350</v>
      </c>
      <c r="G152" s="9" t="s">
        <v>65</v>
      </c>
      <c r="H152" s="7" t="str">
        <f>VLOOKUP(G152,'[1]Price Components'!B:C,2,0)</f>
        <v>Tamil Nadu</v>
      </c>
      <c r="I152" s="7" t="str">
        <f>VLOOKUP(G152,'[1]Price Components'!B:D,3,0)</f>
        <v>EX-SHOWROOM</v>
      </c>
      <c r="J152" s="10">
        <f t="shared" si="1"/>
        <v>4.2498015608899931E-2</v>
      </c>
      <c r="K152" s="11">
        <v>156384</v>
      </c>
      <c r="L152" s="12">
        <f t="shared" si="2"/>
        <v>0</v>
      </c>
      <c r="M152" s="11">
        <v>156384</v>
      </c>
      <c r="N152" s="8">
        <v>1279</v>
      </c>
      <c r="O152" s="13">
        <f>VLOOKUP(G152,'[1]Price Components'!B:E,4,0)</f>
        <v>800</v>
      </c>
      <c r="P152" s="13">
        <f t="shared" si="3"/>
        <v>158463</v>
      </c>
      <c r="Q152" s="14">
        <f>ROUND(IF(F152&lt;500,VLOOKUP(G152,'[1]Price Components'!B:G,5,0),VLOOKUP(G152,'[1]Price Components'!B:G,6,0)),2)</f>
        <v>1374.5</v>
      </c>
      <c r="R152" s="11">
        <f t="shared" si="4"/>
        <v>8620</v>
      </c>
      <c r="S152" s="13">
        <v>0</v>
      </c>
      <c r="T152" s="11">
        <f t="shared" si="5"/>
        <v>8620</v>
      </c>
      <c r="U152" s="11">
        <v>292</v>
      </c>
      <c r="V152" s="13">
        <f t="shared" si="6"/>
        <v>8912</v>
      </c>
      <c r="W152" s="13">
        <f t="shared" si="7"/>
        <v>202833</v>
      </c>
      <c r="X152" s="13">
        <f t="shared" si="8"/>
        <v>168749.5</v>
      </c>
      <c r="Y152" s="13">
        <f t="shared" si="9"/>
        <v>47250</v>
      </c>
      <c r="Z152" s="11">
        <v>0</v>
      </c>
      <c r="AA152" s="13">
        <f t="shared" si="48"/>
        <v>216000</v>
      </c>
      <c r="AB152" s="13" t="str">
        <f t="shared" si="44"/>
        <v>C</v>
      </c>
      <c r="AC152" s="15">
        <f>IF(AB152="A",VLOOKUP($G152,'[1]Price Components'!$B:$AC,7,0),IF(AB152="B",VLOOKUP($G152,'[1]Price Components'!$B:$AC,8,0),IF(AB152="C",VLOOKUP($G152,'[1]Price Components'!$B:$AC,9,0),IF(AB152="E",15%,IF(AB152="D",VLOOKUP($G152,'[1]Price Components'!$B:$AC,10,0))))))</f>
        <v>0.12</v>
      </c>
      <c r="AD152" s="13">
        <f>ROUND(IF(AC152=0,VLOOKUP($G152,'[1]Price Components'!$B:$AC,11,0),IF(I152="BASIC",X152*AC152,AA152*AC152)),0)</f>
        <v>25920</v>
      </c>
      <c r="AE152" s="13">
        <f>ROUND(VLOOKUP($G152,'[1]Price Components'!$B:$AC,12,0),0)</f>
        <v>1025</v>
      </c>
      <c r="AF152" s="16">
        <f>VLOOKUP($G152,'[1]Price Components'!$B:$AC,14,0)</f>
        <v>8.0599999999999995E-3</v>
      </c>
      <c r="AG152" s="16">
        <f>VLOOKUP($G152,'[1]Price Components'!$B:$AC,15,0)</f>
        <v>8.456E-3</v>
      </c>
      <c r="AH152" s="13">
        <f t="shared" si="12"/>
        <v>1654</v>
      </c>
      <c r="AI152" s="13">
        <f t="shared" si="13"/>
        <v>7740</v>
      </c>
      <c r="AJ152" s="13">
        <f t="shared" si="14"/>
        <v>1691</v>
      </c>
      <c r="AK152" s="13">
        <f t="shared" si="15"/>
        <v>11085</v>
      </c>
      <c r="AL152" s="13">
        <f t="shared" si="16"/>
        <v>254030</v>
      </c>
      <c r="AM152" s="17"/>
      <c r="AN152" s="18">
        <v>216000</v>
      </c>
      <c r="AO152" s="18">
        <f t="shared" si="17"/>
        <v>0</v>
      </c>
      <c r="AP152" s="18"/>
    </row>
    <row r="153" spans="1:42" ht="15.75" customHeight="1" x14ac:dyDescent="0.3">
      <c r="A153" s="7"/>
      <c r="B153" s="7"/>
      <c r="C153" s="7" t="str">
        <f t="shared" si="0"/>
        <v>VBFV60GM22</v>
      </c>
      <c r="D153" s="7" t="s">
        <v>42</v>
      </c>
      <c r="E153" s="7"/>
      <c r="F153" s="8">
        <v>350</v>
      </c>
      <c r="G153" s="9" t="s">
        <v>65</v>
      </c>
      <c r="H153" s="7" t="str">
        <f>VLOOKUP(G153,'[1]Price Components'!B:C,2,0)</f>
        <v>Tamil Nadu</v>
      </c>
      <c r="I153" s="7" t="str">
        <f>VLOOKUP(G153,'[1]Price Components'!B:D,3,0)</f>
        <v>EX-SHOWROOM</v>
      </c>
      <c r="J153" s="10">
        <f t="shared" si="1"/>
        <v>4.2499337648082967E-2</v>
      </c>
      <c r="K153" s="11">
        <v>163052</v>
      </c>
      <c r="L153" s="12">
        <f t="shared" si="2"/>
        <v>0</v>
      </c>
      <c r="M153" s="11">
        <v>163052</v>
      </c>
      <c r="N153" s="8">
        <v>1279</v>
      </c>
      <c r="O153" s="13">
        <f>VLOOKUP(G153,'[1]Price Components'!B:E,4,0)</f>
        <v>800</v>
      </c>
      <c r="P153" s="13">
        <f t="shared" si="3"/>
        <v>165131</v>
      </c>
      <c r="Q153" s="14">
        <f>ROUND(IF(F153&lt;500,VLOOKUP(G153,'[1]Price Components'!B:G,5,0),VLOOKUP(G153,'[1]Price Components'!B:G,6,0)),2)</f>
        <v>1374.5</v>
      </c>
      <c r="R153" s="11">
        <f t="shared" si="4"/>
        <v>8983</v>
      </c>
      <c r="S153" s="13">
        <v>0</v>
      </c>
      <c r="T153" s="11">
        <f t="shared" si="5"/>
        <v>8983</v>
      </c>
      <c r="U153" s="11">
        <v>292</v>
      </c>
      <c r="V153" s="13">
        <f t="shared" si="6"/>
        <v>9275</v>
      </c>
      <c r="W153" s="13">
        <f t="shared" si="7"/>
        <v>211368</v>
      </c>
      <c r="X153" s="13">
        <f t="shared" si="8"/>
        <v>175780.5</v>
      </c>
      <c r="Y153" s="13">
        <f t="shared" si="9"/>
        <v>49219</v>
      </c>
      <c r="Z153" s="11">
        <v>0</v>
      </c>
      <c r="AA153" s="13">
        <f t="shared" si="48"/>
        <v>225000</v>
      </c>
      <c r="AB153" s="13" t="str">
        <f t="shared" si="44"/>
        <v>C</v>
      </c>
      <c r="AC153" s="15">
        <f>IF(AB153="A",VLOOKUP($G153,'[1]Price Components'!$B:$AC,7,0),IF(AB153="B",VLOOKUP($G153,'[1]Price Components'!$B:$AC,8,0),IF(AB153="C",VLOOKUP($G153,'[1]Price Components'!$B:$AC,9,0),IF(AB153="E",15%,IF(AB153="D",VLOOKUP($G153,'[1]Price Components'!$B:$AC,10,0))))))</f>
        <v>0.12</v>
      </c>
      <c r="AD153" s="13">
        <f>ROUND(IF(AC153=0,VLOOKUP($G153,'[1]Price Components'!$B:$AC,11,0),IF(I153="BASIC",X153*AC153,AA153*AC153)),0)</f>
        <v>27000</v>
      </c>
      <c r="AE153" s="13">
        <f>ROUND(VLOOKUP($G153,'[1]Price Components'!$B:$AC,12,0),0)</f>
        <v>1025</v>
      </c>
      <c r="AF153" s="16">
        <f>VLOOKUP($G153,'[1]Price Components'!$B:$AC,14,0)</f>
        <v>8.0599999999999995E-3</v>
      </c>
      <c r="AG153" s="16">
        <f>VLOOKUP($G153,'[1]Price Components'!$B:$AC,15,0)</f>
        <v>8.456E-3</v>
      </c>
      <c r="AH153" s="13">
        <f t="shared" si="12"/>
        <v>1723</v>
      </c>
      <c r="AI153" s="13">
        <f t="shared" si="13"/>
        <v>7740</v>
      </c>
      <c r="AJ153" s="13">
        <f t="shared" si="14"/>
        <v>1703</v>
      </c>
      <c r="AK153" s="13">
        <f t="shared" si="15"/>
        <v>11166</v>
      </c>
      <c r="AL153" s="13">
        <f t="shared" si="16"/>
        <v>264191</v>
      </c>
      <c r="AM153" s="17"/>
      <c r="AN153" s="18">
        <v>225000</v>
      </c>
      <c r="AO153" s="18">
        <f t="shared" si="17"/>
        <v>0</v>
      </c>
      <c r="AP153" s="18"/>
    </row>
    <row r="154" spans="1:42" ht="15.75" customHeight="1" x14ac:dyDescent="0.3">
      <c r="A154" s="7"/>
      <c r="B154" s="7"/>
      <c r="C154" s="7" t="str">
        <f t="shared" si="0"/>
        <v>VBFV60SB22</v>
      </c>
      <c r="D154" s="7" t="s">
        <v>43</v>
      </c>
      <c r="E154" s="7"/>
      <c r="F154" s="8">
        <v>350</v>
      </c>
      <c r="G154" s="9" t="s">
        <v>65</v>
      </c>
      <c r="H154" s="7" t="str">
        <f>VLOOKUP(G154,'[1]Price Components'!B:C,2,0)</f>
        <v>Tamil Nadu</v>
      </c>
      <c r="I154" s="7" t="str">
        <f>VLOOKUP(G154,'[1]Price Components'!B:D,3,0)</f>
        <v>EX-SHOWROOM</v>
      </c>
      <c r="J154" s="10">
        <f t="shared" si="1"/>
        <v>4.2499337648082967E-2</v>
      </c>
      <c r="K154" s="11">
        <v>163052</v>
      </c>
      <c r="L154" s="12">
        <f t="shared" si="2"/>
        <v>0</v>
      </c>
      <c r="M154" s="11">
        <v>163052</v>
      </c>
      <c r="N154" s="8">
        <v>1279</v>
      </c>
      <c r="O154" s="13">
        <f>VLOOKUP(G154,'[1]Price Components'!B:E,4,0)</f>
        <v>800</v>
      </c>
      <c r="P154" s="13">
        <f t="shared" si="3"/>
        <v>165131</v>
      </c>
      <c r="Q154" s="14">
        <f>ROUND(IF(F154&lt;500,VLOOKUP(G154,'[1]Price Components'!B:G,5,0),VLOOKUP(G154,'[1]Price Components'!B:G,6,0)),2)</f>
        <v>1374.5</v>
      </c>
      <c r="R154" s="11">
        <f t="shared" si="4"/>
        <v>8983</v>
      </c>
      <c r="S154" s="13">
        <v>0</v>
      </c>
      <c r="T154" s="11">
        <f t="shared" si="5"/>
        <v>8983</v>
      </c>
      <c r="U154" s="11">
        <v>292</v>
      </c>
      <c r="V154" s="13">
        <f t="shared" si="6"/>
        <v>9275</v>
      </c>
      <c r="W154" s="13">
        <f t="shared" si="7"/>
        <v>211368</v>
      </c>
      <c r="X154" s="13">
        <f t="shared" si="8"/>
        <v>175780.5</v>
      </c>
      <c r="Y154" s="13">
        <f t="shared" si="9"/>
        <v>49219</v>
      </c>
      <c r="Z154" s="11">
        <v>0</v>
      </c>
      <c r="AA154" s="13">
        <f t="shared" si="48"/>
        <v>225000</v>
      </c>
      <c r="AB154" s="13" t="str">
        <f t="shared" si="44"/>
        <v>C</v>
      </c>
      <c r="AC154" s="15">
        <f>IF(AB154="A",VLOOKUP($G154,'[1]Price Components'!$B:$AC,7,0),IF(AB154="B",VLOOKUP($G154,'[1]Price Components'!$B:$AC,8,0),IF(AB154="C",VLOOKUP($G154,'[1]Price Components'!$B:$AC,9,0),IF(AB154="E",15%,IF(AB154="D",VLOOKUP($G154,'[1]Price Components'!$B:$AC,10,0))))))</f>
        <v>0.12</v>
      </c>
      <c r="AD154" s="13">
        <f>ROUND(IF(AC154=0,VLOOKUP($G154,'[1]Price Components'!$B:$AC,11,0),IF(I154="BASIC",X154*AC154,AA154*AC154)),0)</f>
        <v>27000</v>
      </c>
      <c r="AE154" s="13">
        <f>ROUND(VLOOKUP($G154,'[1]Price Components'!$B:$AC,12,0),0)</f>
        <v>1025</v>
      </c>
      <c r="AF154" s="16">
        <f>VLOOKUP($G154,'[1]Price Components'!$B:$AC,14,0)</f>
        <v>8.0599999999999995E-3</v>
      </c>
      <c r="AG154" s="16">
        <f>VLOOKUP($G154,'[1]Price Components'!$B:$AC,15,0)</f>
        <v>8.456E-3</v>
      </c>
      <c r="AH154" s="13">
        <f t="shared" si="12"/>
        <v>1723</v>
      </c>
      <c r="AI154" s="13">
        <f t="shared" si="13"/>
        <v>7740</v>
      </c>
      <c r="AJ154" s="13">
        <f t="shared" si="14"/>
        <v>1703</v>
      </c>
      <c r="AK154" s="13">
        <f t="shared" si="15"/>
        <v>11166</v>
      </c>
      <c r="AL154" s="13">
        <f t="shared" si="16"/>
        <v>264191</v>
      </c>
      <c r="AM154" s="17"/>
      <c r="AN154" s="18">
        <v>225000</v>
      </c>
      <c r="AO154" s="18">
        <f t="shared" si="17"/>
        <v>0</v>
      </c>
      <c r="AP154" s="18"/>
    </row>
    <row r="155" spans="1:42" ht="15.75" customHeight="1" x14ac:dyDescent="0.3">
      <c r="A155" s="7"/>
      <c r="B155" s="7"/>
      <c r="C155" s="7" t="str">
        <f t="shared" si="0"/>
        <v>VBFV60DN22</v>
      </c>
      <c r="D155" s="7" t="s">
        <v>44</v>
      </c>
      <c r="E155" s="7"/>
      <c r="F155" s="8">
        <v>350</v>
      </c>
      <c r="G155" s="9" t="s">
        <v>65</v>
      </c>
      <c r="H155" s="7" t="str">
        <f>VLOOKUP(G155,'[1]Price Components'!B:C,2,0)</f>
        <v>Tamil Nadu</v>
      </c>
      <c r="I155" s="7" t="str">
        <f>VLOOKUP(G155,'[1]Price Components'!B:D,3,0)</f>
        <v>EX-SHOWROOM</v>
      </c>
      <c r="J155" s="10">
        <f t="shared" si="1"/>
        <v>4.2501700530750683E-2</v>
      </c>
      <c r="K155" s="11">
        <v>166757</v>
      </c>
      <c r="L155" s="12">
        <f t="shared" si="2"/>
        <v>-0.74048401421168819</v>
      </c>
      <c r="M155" s="11">
        <v>166756.25951598579</v>
      </c>
      <c r="N155" s="8">
        <v>1279</v>
      </c>
      <c r="O155" s="13">
        <f>VLOOKUP(G155,'[1]Price Components'!B:E,4,0)</f>
        <v>800</v>
      </c>
      <c r="P155" s="13">
        <f t="shared" si="3"/>
        <v>168835</v>
      </c>
      <c r="Q155" s="14">
        <f>ROUND(IF(F155&lt;500,VLOOKUP(G155,'[1]Price Components'!B:G,5,0),VLOOKUP(G155,'[1]Price Components'!B:G,6,0)),2)</f>
        <v>1374.5</v>
      </c>
      <c r="R155" s="11">
        <f t="shared" si="4"/>
        <v>9185</v>
      </c>
      <c r="S155" s="13">
        <v>0</v>
      </c>
      <c r="T155" s="11">
        <f t="shared" si="5"/>
        <v>9185</v>
      </c>
      <c r="U155" s="11">
        <v>292</v>
      </c>
      <c r="V155" s="13">
        <f t="shared" si="6"/>
        <v>9477</v>
      </c>
      <c r="W155" s="13">
        <f t="shared" si="7"/>
        <v>216109</v>
      </c>
      <c r="X155" s="13">
        <f t="shared" si="8"/>
        <v>179686.5</v>
      </c>
      <c r="Y155" s="13">
        <f t="shared" si="9"/>
        <v>50312</v>
      </c>
      <c r="Z155" s="11">
        <v>0</v>
      </c>
      <c r="AA155" s="13">
        <f>ROUND(X155+Y155+Z155,0)+1</f>
        <v>230000</v>
      </c>
      <c r="AB155" s="13" t="str">
        <f t="shared" si="44"/>
        <v>C</v>
      </c>
      <c r="AC155" s="15">
        <f>IF(AB155="A",VLOOKUP($G155,'[1]Price Components'!$B:$AC,7,0),IF(AB155="B",VLOOKUP($G155,'[1]Price Components'!$B:$AC,8,0),IF(AB155="C",VLOOKUP($G155,'[1]Price Components'!$B:$AC,9,0),IF(AB155="E",15%,IF(AB155="D",VLOOKUP($G155,'[1]Price Components'!$B:$AC,10,0))))))</f>
        <v>0.12</v>
      </c>
      <c r="AD155" s="13">
        <f>ROUND(IF(AC155=0,VLOOKUP($G155,'[1]Price Components'!$B:$AC,11,0),IF(I155="BASIC",X155*AC155,AA155*AC155)),0)</f>
        <v>27600</v>
      </c>
      <c r="AE155" s="13">
        <f>ROUND(VLOOKUP($G155,'[1]Price Components'!$B:$AC,12,0),0)</f>
        <v>1025</v>
      </c>
      <c r="AF155" s="16">
        <f>VLOOKUP($G155,'[1]Price Components'!$B:$AC,14,0)</f>
        <v>8.0599999999999995E-3</v>
      </c>
      <c r="AG155" s="16">
        <f>VLOOKUP($G155,'[1]Price Components'!$B:$AC,15,0)</f>
        <v>8.456E-3</v>
      </c>
      <c r="AH155" s="13">
        <f t="shared" si="12"/>
        <v>1761</v>
      </c>
      <c r="AI155" s="13">
        <f t="shared" si="13"/>
        <v>7740</v>
      </c>
      <c r="AJ155" s="13">
        <f t="shared" si="14"/>
        <v>1710</v>
      </c>
      <c r="AK155" s="13">
        <f t="shared" si="15"/>
        <v>11211</v>
      </c>
      <c r="AL155" s="13">
        <f t="shared" si="16"/>
        <v>269836</v>
      </c>
      <c r="AM155" s="17"/>
      <c r="AN155" s="18">
        <v>230000</v>
      </c>
      <c r="AO155" s="18">
        <f t="shared" si="17"/>
        <v>0</v>
      </c>
      <c r="AP155" s="18"/>
    </row>
    <row r="156" spans="1:42" ht="15.75" customHeight="1" x14ac:dyDescent="0.3">
      <c r="A156" s="7"/>
      <c r="B156" s="7"/>
      <c r="C156" s="7" t="str">
        <f t="shared" si="0"/>
        <v>VBFV60RR23</v>
      </c>
      <c r="D156" s="7" t="s">
        <v>37</v>
      </c>
      <c r="E156" s="7"/>
      <c r="F156" s="8">
        <v>350</v>
      </c>
      <c r="G156" s="9" t="s">
        <v>66</v>
      </c>
      <c r="H156" s="7" t="str">
        <f>VLOOKUP(G156,'[1]Price Components'!B:C,2,0)</f>
        <v>Tripura</v>
      </c>
      <c r="I156" s="7" t="str">
        <f>VLOOKUP(G156,'[1]Price Components'!B:D,3,0)</f>
        <v>EX-SHOWROOM</v>
      </c>
      <c r="J156" s="10">
        <f t="shared" si="1"/>
        <v>4.2502611773234118E-2</v>
      </c>
      <c r="K156" s="11">
        <v>144158</v>
      </c>
      <c r="L156" s="12">
        <f t="shared" si="2"/>
        <v>75.304382168222219</v>
      </c>
      <c r="M156" s="11">
        <v>144233.30438216822</v>
      </c>
      <c r="N156" s="8">
        <v>1279</v>
      </c>
      <c r="O156" s="13">
        <f>VLOOKUP(G156,'[1]Price Components'!B:E,4,0)</f>
        <v>1060</v>
      </c>
      <c r="P156" s="13">
        <f t="shared" si="3"/>
        <v>146572</v>
      </c>
      <c r="Q156" s="14">
        <f>ROUND(IF(F156&lt;500,VLOOKUP(G156,'[1]Price Components'!B:G,5,0),VLOOKUP(G156,'[1]Price Components'!B:G,6,0)),2)</f>
        <v>1022</v>
      </c>
      <c r="R156" s="11">
        <f t="shared" si="4"/>
        <v>7974</v>
      </c>
      <c r="S156" s="13">
        <v>0</v>
      </c>
      <c r="T156" s="11">
        <f t="shared" si="5"/>
        <v>7974</v>
      </c>
      <c r="U156" s="11">
        <v>292</v>
      </c>
      <c r="V156" s="13">
        <f t="shared" si="6"/>
        <v>8266</v>
      </c>
      <c r="W156" s="13">
        <f t="shared" si="7"/>
        <v>187612</v>
      </c>
      <c r="X156" s="13">
        <f t="shared" si="8"/>
        <v>155860</v>
      </c>
      <c r="Y156" s="13">
        <f t="shared" si="9"/>
        <v>43641</v>
      </c>
      <c r="Z156" s="11">
        <v>0</v>
      </c>
      <c r="AA156" s="13">
        <f t="shared" ref="AA156:AA157" si="49">ROUND(X156+Y156+Z156,0)-1</f>
        <v>199500</v>
      </c>
      <c r="AB156" s="13" t="str">
        <f t="shared" si="44"/>
        <v>B</v>
      </c>
      <c r="AC156" s="15">
        <f>IF(AB156="A",VLOOKUP($G156,'[1]Price Components'!$B:$AC,7,0),IF(AB156="B",VLOOKUP($G156,'[1]Price Components'!$B:$AC,8,0),IF(AB156="C",VLOOKUP($G156,'[1]Price Components'!$B:$AC,9,0),IF(AB156="E",15%,IF(AB156="D",VLOOKUP($G156,'[1]Price Components'!$B:$AC,10,0))))))</f>
        <v>0.08</v>
      </c>
      <c r="AD156" s="13">
        <f>ROUND(IF(AC156=0,VLOOKUP($G156,'[1]Price Components'!$B:$AC,11,0),IF(I156="BASIC",X156*AC156,AA156*AC156)),0)</f>
        <v>15960</v>
      </c>
      <c r="AE156" s="13">
        <f>ROUND(VLOOKUP($G156,'[1]Price Components'!$B:$AC,12,0),0)</f>
        <v>445</v>
      </c>
      <c r="AF156" s="16">
        <f>VLOOKUP($G156,'[1]Price Components'!$B:$AC,14,0)</f>
        <v>7.92E-3</v>
      </c>
      <c r="AG156" s="16">
        <f>VLOOKUP($G156,'[1]Price Components'!$B:$AC,15,0)</f>
        <v>8.2979999999999998E-3</v>
      </c>
      <c r="AH156" s="13">
        <f t="shared" si="12"/>
        <v>1501</v>
      </c>
      <c r="AI156" s="13">
        <f t="shared" si="13"/>
        <v>7740</v>
      </c>
      <c r="AJ156" s="13">
        <f t="shared" si="14"/>
        <v>1663</v>
      </c>
      <c r="AK156" s="13">
        <f t="shared" si="15"/>
        <v>10904</v>
      </c>
      <c r="AL156" s="13">
        <f t="shared" si="16"/>
        <v>226809</v>
      </c>
      <c r="AM156" s="17"/>
      <c r="AN156" s="18">
        <v>199500</v>
      </c>
      <c r="AO156" s="18">
        <f t="shared" si="17"/>
        <v>0</v>
      </c>
      <c r="AP156" s="18"/>
    </row>
    <row r="157" spans="1:42" ht="15.75" customHeight="1" x14ac:dyDescent="0.3">
      <c r="A157" s="7"/>
      <c r="B157" s="7"/>
      <c r="C157" s="7" t="str">
        <f t="shared" si="0"/>
        <v>VBFV60EB23</v>
      </c>
      <c r="D157" s="7" t="s">
        <v>39</v>
      </c>
      <c r="E157" s="7"/>
      <c r="F157" s="8">
        <v>350</v>
      </c>
      <c r="G157" s="9" t="s">
        <v>66</v>
      </c>
      <c r="H157" s="7" t="str">
        <f>VLOOKUP(G157,'[1]Price Components'!B:C,2,0)</f>
        <v>Tripura</v>
      </c>
      <c r="I157" s="7" t="str">
        <f>VLOOKUP(G157,'[1]Price Components'!B:D,3,0)</f>
        <v>EX-SHOWROOM</v>
      </c>
      <c r="J157" s="10">
        <f t="shared" si="1"/>
        <v>4.2502611773234118E-2</v>
      </c>
      <c r="K157" s="11">
        <v>144158</v>
      </c>
      <c r="L157" s="12">
        <f t="shared" si="2"/>
        <v>75.304382168222219</v>
      </c>
      <c r="M157" s="11">
        <v>144233.30438216822</v>
      </c>
      <c r="N157" s="8">
        <v>1279</v>
      </c>
      <c r="O157" s="13">
        <f>VLOOKUP(G157,'[1]Price Components'!B:E,4,0)</f>
        <v>1060</v>
      </c>
      <c r="P157" s="13">
        <f t="shared" si="3"/>
        <v>146572</v>
      </c>
      <c r="Q157" s="14">
        <f>ROUND(IF(F157&lt;500,VLOOKUP(G157,'[1]Price Components'!B:G,5,0),VLOOKUP(G157,'[1]Price Components'!B:G,6,0)),2)</f>
        <v>1022</v>
      </c>
      <c r="R157" s="11">
        <f t="shared" si="4"/>
        <v>7974</v>
      </c>
      <c r="S157" s="13">
        <v>0</v>
      </c>
      <c r="T157" s="11">
        <f t="shared" si="5"/>
        <v>7974</v>
      </c>
      <c r="U157" s="11">
        <v>292</v>
      </c>
      <c r="V157" s="13">
        <f t="shared" si="6"/>
        <v>8266</v>
      </c>
      <c r="W157" s="13">
        <f t="shared" si="7"/>
        <v>187612</v>
      </c>
      <c r="X157" s="13">
        <f t="shared" si="8"/>
        <v>155860</v>
      </c>
      <c r="Y157" s="13">
        <f t="shared" si="9"/>
        <v>43641</v>
      </c>
      <c r="Z157" s="11">
        <v>0</v>
      </c>
      <c r="AA157" s="13">
        <f t="shared" si="49"/>
        <v>199500</v>
      </c>
      <c r="AB157" s="13" t="str">
        <f t="shared" si="44"/>
        <v>B</v>
      </c>
      <c r="AC157" s="15">
        <f>IF(AB157="A",VLOOKUP($G157,'[1]Price Components'!$B:$AC,7,0),IF(AB157="B",VLOOKUP($G157,'[1]Price Components'!$B:$AC,8,0),IF(AB157="C",VLOOKUP($G157,'[1]Price Components'!$B:$AC,9,0),IF(AB157="E",15%,IF(AB157="D",VLOOKUP($G157,'[1]Price Components'!$B:$AC,10,0))))))</f>
        <v>0.08</v>
      </c>
      <c r="AD157" s="13">
        <f>ROUND(IF(AC157=0,VLOOKUP($G157,'[1]Price Components'!$B:$AC,11,0),IF(I157="BASIC",X157*AC157,AA157*AC157)),0)</f>
        <v>15960</v>
      </c>
      <c r="AE157" s="13">
        <f>ROUND(VLOOKUP($G157,'[1]Price Components'!$B:$AC,12,0),0)</f>
        <v>445</v>
      </c>
      <c r="AF157" s="16">
        <f>VLOOKUP($G157,'[1]Price Components'!$B:$AC,14,0)</f>
        <v>7.92E-3</v>
      </c>
      <c r="AG157" s="16">
        <f>VLOOKUP($G157,'[1]Price Components'!$B:$AC,15,0)</f>
        <v>8.2979999999999998E-3</v>
      </c>
      <c r="AH157" s="13">
        <f t="shared" si="12"/>
        <v>1501</v>
      </c>
      <c r="AI157" s="13">
        <f t="shared" si="13"/>
        <v>7740</v>
      </c>
      <c r="AJ157" s="13">
        <f t="shared" si="14"/>
        <v>1663</v>
      </c>
      <c r="AK157" s="13">
        <f t="shared" si="15"/>
        <v>10904</v>
      </c>
      <c r="AL157" s="13">
        <f t="shared" si="16"/>
        <v>226809</v>
      </c>
      <c r="AM157" s="17"/>
      <c r="AN157" s="18">
        <v>199500</v>
      </c>
      <c r="AO157" s="18">
        <f t="shared" si="17"/>
        <v>0</v>
      </c>
      <c r="AP157" s="18"/>
    </row>
    <row r="158" spans="1:42" ht="15.75" customHeight="1" x14ac:dyDescent="0.3">
      <c r="A158" s="7"/>
      <c r="B158" s="7"/>
      <c r="C158" s="7" t="str">
        <f t="shared" si="0"/>
        <v>VBFV60HG23</v>
      </c>
      <c r="D158" s="7" t="s">
        <v>40</v>
      </c>
      <c r="E158" s="7"/>
      <c r="F158" s="8">
        <v>350</v>
      </c>
      <c r="G158" s="9" t="s">
        <v>66</v>
      </c>
      <c r="H158" s="7" t="str">
        <f>VLOOKUP(G158,'[1]Price Components'!B:C,2,0)</f>
        <v>Tripura</v>
      </c>
      <c r="I158" s="7" t="str">
        <f>VLOOKUP(G158,'[1]Price Components'!B:D,3,0)</f>
        <v>EX-SHOWROOM</v>
      </c>
      <c r="J158" s="10">
        <f t="shared" si="1"/>
        <v>4.2500521159057746E-2</v>
      </c>
      <c r="K158" s="11">
        <v>147492</v>
      </c>
      <c r="L158" s="12">
        <f t="shared" si="2"/>
        <v>74.857748743728735</v>
      </c>
      <c r="M158" s="11">
        <v>147566.85774874373</v>
      </c>
      <c r="N158" s="8">
        <v>1279</v>
      </c>
      <c r="O158" s="13">
        <f>VLOOKUP(G158,'[1]Price Components'!B:E,4,0)</f>
        <v>1060</v>
      </c>
      <c r="P158" s="13">
        <f t="shared" si="3"/>
        <v>149906</v>
      </c>
      <c r="Q158" s="14">
        <f>ROUND(IF(F158&lt;500,VLOOKUP(G158,'[1]Price Components'!B:G,5,0),VLOOKUP(G158,'[1]Price Components'!B:G,6,0)),2)</f>
        <v>1022</v>
      </c>
      <c r="R158" s="11">
        <f t="shared" si="4"/>
        <v>8155</v>
      </c>
      <c r="S158" s="13">
        <v>0</v>
      </c>
      <c r="T158" s="11">
        <f t="shared" si="5"/>
        <v>8155</v>
      </c>
      <c r="U158" s="11">
        <v>292</v>
      </c>
      <c r="V158" s="13">
        <f t="shared" si="6"/>
        <v>8447</v>
      </c>
      <c r="W158" s="13">
        <f t="shared" si="7"/>
        <v>191880</v>
      </c>
      <c r="X158" s="13">
        <f t="shared" si="8"/>
        <v>159375</v>
      </c>
      <c r="Y158" s="13">
        <f t="shared" si="9"/>
        <v>44625</v>
      </c>
      <c r="Z158" s="11">
        <v>0</v>
      </c>
      <c r="AA158" s="13">
        <f t="shared" ref="AA158:AA161" si="50">ROUND(X158+Y158+Z158,0)</f>
        <v>204000</v>
      </c>
      <c r="AB158" s="13" t="str">
        <f t="shared" si="44"/>
        <v>C</v>
      </c>
      <c r="AC158" s="15">
        <f>IF(AB158="A",VLOOKUP($G158,'[1]Price Components'!$B:$AC,7,0),IF(AB158="B",VLOOKUP($G158,'[1]Price Components'!$B:$AC,8,0),IF(AB158="C",VLOOKUP($G158,'[1]Price Components'!$B:$AC,9,0),IF(AB158="E",15%,IF(AB158="D",VLOOKUP($G158,'[1]Price Components'!$B:$AC,10,0))))))</f>
        <v>0.08</v>
      </c>
      <c r="AD158" s="13">
        <f>ROUND(IF(AC158=0,VLOOKUP($G158,'[1]Price Components'!$B:$AC,11,0),IF(I158="BASIC",X158*AC158,AA158*AC158)),0)</f>
        <v>16320</v>
      </c>
      <c r="AE158" s="13">
        <f>ROUND(VLOOKUP($G158,'[1]Price Components'!$B:$AC,12,0),0)</f>
        <v>445</v>
      </c>
      <c r="AF158" s="16">
        <f>VLOOKUP($G158,'[1]Price Components'!$B:$AC,14,0)</f>
        <v>7.92E-3</v>
      </c>
      <c r="AG158" s="16">
        <f>VLOOKUP($G158,'[1]Price Components'!$B:$AC,15,0)</f>
        <v>8.2979999999999998E-3</v>
      </c>
      <c r="AH158" s="13">
        <f t="shared" si="12"/>
        <v>1535</v>
      </c>
      <c r="AI158" s="13">
        <f t="shared" si="13"/>
        <v>7740</v>
      </c>
      <c r="AJ158" s="13">
        <f t="shared" si="14"/>
        <v>1670</v>
      </c>
      <c r="AK158" s="13">
        <f t="shared" si="15"/>
        <v>10945</v>
      </c>
      <c r="AL158" s="13">
        <f t="shared" si="16"/>
        <v>231710</v>
      </c>
      <c r="AM158" s="17"/>
      <c r="AN158" s="18">
        <v>204000</v>
      </c>
      <c r="AO158" s="18">
        <f t="shared" si="17"/>
        <v>0</v>
      </c>
      <c r="AP158" s="18"/>
    </row>
    <row r="159" spans="1:42" ht="15.75" customHeight="1" x14ac:dyDescent="0.3">
      <c r="A159" s="7"/>
      <c r="B159" s="7"/>
      <c r="C159" s="7" t="str">
        <f t="shared" si="0"/>
        <v>VBFV60SE23</v>
      </c>
      <c r="D159" s="7" t="s">
        <v>41</v>
      </c>
      <c r="E159" s="7"/>
      <c r="F159" s="8">
        <v>350</v>
      </c>
      <c r="G159" s="9" t="s">
        <v>66</v>
      </c>
      <c r="H159" s="7" t="str">
        <f>VLOOKUP(G159,'[1]Price Components'!B:C,2,0)</f>
        <v>Tripura</v>
      </c>
      <c r="I159" s="7" t="str">
        <f>VLOOKUP(G159,'[1]Price Components'!B:D,3,0)</f>
        <v>EX-SHOWROOM</v>
      </c>
      <c r="J159" s="10">
        <f t="shared" si="1"/>
        <v>4.2502213913214605E-2</v>
      </c>
      <c r="K159" s="11">
        <v>156384</v>
      </c>
      <c r="L159" s="12">
        <f t="shared" si="2"/>
        <v>74.080530554230791</v>
      </c>
      <c r="M159" s="11">
        <v>156458.08053055423</v>
      </c>
      <c r="N159" s="8">
        <v>1279</v>
      </c>
      <c r="O159" s="13">
        <f>VLOOKUP(G159,'[1]Price Components'!B:E,4,0)</f>
        <v>1060</v>
      </c>
      <c r="P159" s="13">
        <f t="shared" si="3"/>
        <v>158797</v>
      </c>
      <c r="Q159" s="14">
        <f>ROUND(IF(F159&lt;500,VLOOKUP(G159,'[1]Price Components'!B:G,5,0),VLOOKUP(G159,'[1]Price Components'!B:G,6,0)),2)</f>
        <v>1022</v>
      </c>
      <c r="R159" s="11">
        <f t="shared" si="4"/>
        <v>8639</v>
      </c>
      <c r="S159" s="13">
        <v>0</v>
      </c>
      <c r="T159" s="11">
        <f t="shared" si="5"/>
        <v>8639</v>
      </c>
      <c r="U159" s="11">
        <v>292</v>
      </c>
      <c r="V159" s="13">
        <f t="shared" si="6"/>
        <v>8931</v>
      </c>
      <c r="W159" s="13">
        <f t="shared" si="7"/>
        <v>203260</v>
      </c>
      <c r="X159" s="13">
        <f t="shared" si="8"/>
        <v>168750</v>
      </c>
      <c r="Y159" s="13">
        <f t="shared" si="9"/>
        <v>47250</v>
      </c>
      <c r="Z159" s="11">
        <v>0</v>
      </c>
      <c r="AA159" s="13">
        <f t="shared" si="50"/>
        <v>216000</v>
      </c>
      <c r="AB159" s="13" t="str">
        <f t="shared" si="44"/>
        <v>C</v>
      </c>
      <c r="AC159" s="15">
        <f>IF(AB159="A",VLOOKUP($G159,'[1]Price Components'!$B:$AC,7,0),IF(AB159="B",VLOOKUP($G159,'[1]Price Components'!$B:$AC,8,0),IF(AB159="C",VLOOKUP($G159,'[1]Price Components'!$B:$AC,9,0),IF(AB159="E",15%,IF(AB159="D",VLOOKUP($G159,'[1]Price Components'!$B:$AC,10,0))))))</f>
        <v>0.08</v>
      </c>
      <c r="AD159" s="13">
        <f>ROUND(IF(AC159=0,VLOOKUP($G159,'[1]Price Components'!$B:$AC,11,0),IF(I159="BASIC",X159*AC159,AA159*AC159)),0)</f>
        <v>17280</v>
      </c>
      <c r="AE159" s="13">
        <f>ROUND(VLOOKUP($G159,'[1]Price Components'!$B:$AC,12,0),0)</f>
        <v>445</v>
      </c>
      <c r="AF159" s="16">
        <f>VLOOKUP($G159,'[1]Price Components'!$B:$AC,14,0)</f>
        <v>7.92E-3</v>
      </c>
      <c r="AG159" s="16">
        <f>VLOOKUP($G159,'[1]Price Components'!$B:$AC,15,0)</f>
        <v>8.2979999999999998E-3</v>
      </c>
      <c r="AH159" s="13">
        <f t="shared" si="12"/>
        <v>1625</v>
      </c>
      <c r="AI159" s="13">
        <f t="shared" si="13"/>
        <v>7740</v>
      </c>
      <c r="AJ159" s="13">
        <f t="shared" si="14"/>
        <v>1686</v>
      </c>
      <c r="AK159" s="13">
        <f t="shared" si="15"/>
        <v>11051</v>
      </c>
      <c r="AL159" s="13">
        <f t="shared" si="16"/>
        <v>244776</v>
      </c>
      <c r="AM159" s="17"/>
      <c r="AN159" s="18">
        <v>216000</v>
      </c>
      <c r="AO159" s="18">
        <f t="shared" si="17"/>
        <v>0</v>
      </c>
      <c r="AP159" s="18"/>
    </row>
    <row r="160" spans="1:42" ht="15.75" customHeight="1" x14ac:dyDescent="0.3">
      <c r="A160" s="7"/>
      <c r="B160" s="7"/>
      <c r="C160" s="7" t="str">
        <f t="shared" si="0"/>
        <v>VBFV60GM23</v>
      </c>
      <c r="D160" s="7" t="s">
        <v>42</v>
      </c>
      <c r="E160" s="7"/>
      <c r="F160" s="8">
        <v>350</v>
      </c>
      <c r="G160" s="9" t="s">
        <v>66</v>
      </c>
      <c r="H160" s="7" t="str">
        <f>VLOOKUP(G160,'[1]Price Components'!B:C,2,0)</f>
        <v>Tripura</v>
      </c>
      <c r="I160" s="7" t="str">
        <f>VLOOKUP(G160,'[1]Price Components'!B:D,3,0)</f>
        <v>EX-SHOWROOM</v>
      </c>
      <c r="J160" s="10">
        <f t="shared" si="1"/>
        <v>4.2498441896919675E-2</v>
      </c>
      <c r="K160" s="11">
        <v>163052</v>
      </c>
      <c r="L160" s="12">
        <f t="shared" si="2"/>
        <v>74.82168105407618</v>
      </c>
      <c r="M160" s="11">
        <v>163126.82168105408</v>
      </c>
      <c r="N160" s="8">
        <v>1279</v>
      </c>
      <c r="O160" s="13">
        <f>VLOOKUP(G160,'[1]Price Components'!B:E,4,0)</f>
        <v>1060</v>
      </c>
      <c r="P160" s="13">
        <f t="shared" si="3"/>
        <v>165466</v>
      </c>
      <c r="Q160" s="14">
        <f>ROUND(IF(F160&lt;500,VLOOKUP(G160,'[1]Price Components'!B:G,5,0),VLOOKUP(G160,'[1]Price Components'!B:G,6,0)),2)</f>
        <v>1022</v>
      </c>
      <c r="R160" s="11">
        <f t="shared" si="4"/>
        <v>9001</v>
      </c>
      <c r="S160" s="13">
        <v>0</v>
      </c>
      <c r="T160" s="11">
        <f t="shared" si="5"/>
        <v>9001</v>
      </c>
      <c r="U160" s="11">
        <v>292</v>
      </c>
      <c r="V160" s="13">
        <f t="shared" si="6"/>
        <v>9293</v>
      </c>
      <c r="W160" s="13">
        <f t="shared" si="7"/>
        <v>211796</v>
      </c>
      <c r="X160" s="13">
        <f t="shared" si="8"/>
        <v>175781</v>
      </c>
      <c r="Y160" s="13">
        <f t="shared" si="9"/>
        <v>49219</v>
      </c>
      <c r="Z160" s="11">
        <v>0</v>
      </c>
      <c r="AA160" s="13">
        <f t="shared" si="50"/>
        <v>225000</v>
      </c>
      <c r="AB160" s="13" t="str">
        <f t="shared" si="44"/>
        <v>C</v>
      </c>
      <c r="AC160" s="15">
        <f>IF(AB160="A",VLOOKUP($G160,'[1]Price Components'!$B:$AC,7,0),IF(AB160="B",VLOOKUP($G160,'[1]Price Components'!$B:$AC,8,0),IF(AB160="C",VLOOKUP($G160,'[1]Price Components'!$B:$AC,9,0),IF(AB160="E",15%,IF(AB160="D",VLOOKUP($G160,'[1]Price Components'!$B:$AC,10,0))))))</f>
        <v>0.08</v>
      </c>
      <c r="AD160" s="13">
        <f>ROUND(IF(AC160=0,VLOOKUP($G160,'[1]Price Components'!$B:$AC,11,0),IF(I160="BASIC",X160*AC160,AA160*AC160)),0)</f>
        <v>18000</v>
      </c>
      <c r="AE160" s="13">
        <f>ROUND(VLOOKUP($G160,'[1]Price Components'!$B:$AC,12,0),0)</f>
        <v>445</v>
      </c>
      <c r="AF160" s="16">
        <f>VLOOKUP($G160,'[1]Price Components'!$B:$AC,14,0)</f>
        <v>7.92E-3</v>
      </c>
      <c r="AG160" s="16">
        <f>VLOOKUP($G160,'[1]Price Components'!$B:$AC,15,0)</f>
        <v>8.2979999999999998E-3</v>
      </c>
      <c r="AH160" s="13">
        <f t="shared" si="12"/>
        <v>1693</v>
      </c>
      <c r="AI160" s="13">
        <f t="shared" si="13"/>
        <v>7740</v>
      </c>
      <c r="AJ160" s="13">
        <f t="shared" si="14"/>
        <v>1698</v>
      </c>
      <c r="AK160" s="13">
        <f t="shared" si="15"/>
        <v>11131</v>
      </c>
      <c r="AL160" s="13">
        <f t="shared" si="16"/>
        <v>254576</v>
      </c>
      <c r="AM160" s="17"/>
      <c r="AN160" s="18">
        <v>225000</v>
      </c>
      <c r="AO160" s="18">
        <f t="shared" si="17"/>
        <v>0</v>
      </c>
      <c r="AP160" s="18"/>
    </row>
    <row r="161" spans="1:42" ht="15.75" customHeight="1" x14ac:dyDescent="0.3">
      <c r="A161" s="7"/>
      <c r="B161" s="7"/>
      <c r="C161" s="7" t="str">
        <f t="shared" si="0"/>
        <v>VBFV60SB23</v>
      </c>
      <c r="D161" s="7" t="s">
        <v>43</v>
      </c>
      <c r="E161" s="7"/>
      <c r="F161" s="8">
        <v>350</v>
      </c>
      <c r="G161" s="9" t="s">
        <v>66</v>
      </c>
      <c r="H161" s="7" t="str">
        <f>VLOOKUP(G161,'[1]Price Components'!B:C,2,0)</f>
        <v>Tripura</v>
      </c>
      <c r="I161" s="7" t="str">
        <f>VLOOKUP(G161,'[1]Price Components'!B:D,3,0)</f>
        <v>EX-SHOWROOM</v>
      </c>
      <c r="J161" s="10">
        <f t="shared" si="1"/>
        <v>4.2498441896919675E-2</v>
      </c>
      <c r="K161" s="11">
        <v>163052</v>
      </c>
      <c r="L161" s="12">
        <f t="shared" si="2"/>
        <v>74.82168105407618</v>
      </c>
      <c r="M161" s="11">
        <v>163126.82168105408</v>
      </c>
      <c r="N161" s="8">
        <v>1279</v>
      </c>
      <c r="O161" s="13">
        <f>VLOOKUP(G161,'[1]Price Components'!B:E,4,0)</f>
        <v>1060</v>
      </c>
      <c r="P161" s="13">
        <f t="shared" si="3"/>
        <v>165466</v>
      </c>
      <c r="Q161" s="14">
        <f>ROUND(IF(F161&lt;500,VLOOKUP(G161,'[1]Price Components'!B:G,5,0),VLOOKUP(G161,'[1]Price Components'!B:G,6,0)),2)</f>
        <v>1022</v>
      </c>
      <c r="R161" s="11">
        <f t="shared" si="4"/>
        <v>9001</v>
      </c>
      <c r="S161" s="13">
        <v>0</v>
      </c>
      <c r="T161" s="11">
        <f t="shared" si="5"/>
        <v>9001</v>
      </c>
      <c r="U161" s="11">
        <v>292</v>
      </c>
      <c r="V161" s="13">
        <f t="shared" si="6"/>
        <v>9293</v>
      </c>
      <c r="W161" s="13">
        <f t="shared" si="7"/>
        <v>211796</v>
      </c>
      <c r="X161" s="13">
        <f t="shared" si="8"/>
        <v>175781</v>
      </c>
      <c r="Y161" s="13">
        <f t="shared" si="9"/>
        <v>49219</v>
      </c>
      <c r="Z161" s="11">
        <v>0</v>
      </c>
      <c r="AA161" s="13">
        <f t="shared" si="50"/>
        <v>225000</v>
      </c>
      <c r="AB161" s="13" t="str">
        <f t="shared" si="44"/>
        <v>C</v>
      </c>
      <c r="AC161" s="15">
        <f>IF(AB161="A",VLOOKUP($G161,'[1]Price Components'!$B:$AC,7,0),IF(AB161="B",VLOOKUP($G161,'[1]Price Components'!$B:$AC,8,0),IF(AB161="C",VLOOKUP($G161,'[1]Price Components'!$B:$AC,9,0),IF(AB161="E",15%,IF(AB161="D",VLOOKUP($G161,'[1]Price Components'!$B:$AC,10,0))))))</f>
        <v>0.08</v>
      </c>
      <c r="AD161" s="13">
        <f>ROUND(IF(AC161=0,VLOOKUP($G161,'[1]Price Components'!$B:$AC,11,0),IF(I161="BASIC",X161*AC161,AA161*AC161)),0)</f>
        <v>18000</v>
      </c>
      <c r="AE161" s="13">
        <f>ROUND(VLOOKUP($G161,'[1]Price Components'!$B:$AC,12,0),0)</f>
        <v>445</v>
      </c>
      <c r="AF161" s="16">
        <f>VLOOKUP($G161,'[1]Price Components'!$B:$AC,14,0)</f>
        <v>7.92E-3</v>
      </c>
      <c r="AG161" s="16">
        <f>VLOOKUP($G161,'[1]Price Components'!$B:$AC,15,0)</f>
        <v>8.2979999999999998E-3</v>
      </c>
      <c r="AH161" s="13">
        <f t="shared" si="12"/>
        <v>1693</v>
      </c>
      <c r="AI161" s="13">
        <f t="shared" si="13"/>
        <v>7740</v>
      </c>
      <c r="AJ161" s="13">
        <f t="shared" si="14"/>
        <v>1698</v>
      </c>
      <c r="AK161" s="13">
        <f t="shared" si="15"/>
        <v>11131</v>
      </c>
      <c r="AL161" s="13">
        <f t="shared" si="16"/>
        <v>254576</v>
      </c>
      <c r="AM161" s="17"/>
      <c r="AN161" s="18">
        <v>225000</v>
      </c>
      <c r="AO161" s="18">
        <f t="shared" si="17"/>
        <v>0</v>
      </c>
      <c r="AP161" s="18"/>
    </row>
    <row r="162" spans="1:42" ht="15.75" customHeight="1" x14ac:dyDescent="0.3">
      <c r="A162" s="7"/>
      <c r="B162" s="7"/>
      <c r="C162" s="7" t="str">
        <f t="shared" si="0"/>
        <v>VBFV60DN23</v>
      </c>
      <c r="D162" s="7" t="s">
        <v>44</v>
      </c>
      <c r="E162" s="7"/>
      <c r="F162" s="8">
        <v>350</v>
      </c>
      <c r="G162" s="9" t="s">
        <v>66</v>
      </c>
      <c r="H162" s="7" t="str">
        <f>VLOOKUP(G162,'[1]Price Components'!B:C,2,0)</f>
        <v>Tripura</v>
      </c>
      <c r="I162" s="7" t="str">
        <f>VLOOKUP(G162,'[1]Price Components'!B:D,3,0)</f>
        <v>EX-SHOWROOM</v>
      </c>
      <c r="J162" s="10">
        <f t="shared" si="1"/>
        <v>4.2500623447154773E-2</v>
      </c>
      <c r="K162" s="11">
        <v>166757</v>
      </c>
      <c r="L162" s="12">
        <f t="shared" si="2"/>
        <v>74.081293911673129</v>
      </c>
      <c r="M162" s="11">
        <v>166831.08129391167</v>
      </c>
      <c r="N162" s="8">
        <v>1279</v>
      </c>
      <c r="O162" s="13">
        <f>VLOOKUP(G162,'[1]Price Components'!B:E,4,0)</f>
        <v>1060</v>
      </c>
      <c r="P162" s="13">
        <f t="shared" si="3"/>
        <v>169170</v>
      </c>
      <c r="Q162" s="14">
        <f>ROUND(IF(F162&lt;500,VLOOKUP(G162,'[1]Price Components'!B:G,5,0),VLOOKUP(G162,'[1]Price Components'!B:G,6,0)),2)</f>
        <v>1022</v>
      </c>
      <c r="R162" s="11">
        <f t="shared" si="4"/>
        <v>9203</v>
      </c>
      <c r="S162" s="13">
        <v>0</v>
      </c>
      <c r="T162" s="11">
        <f t="shared" si="5"/>
        <v>9203</v>
      </c>
      <c r="U162" s="11">
        <v>292</v>
      </c>
      <c r="V162" s="13">
        <f t="shared" si="6"/>
        <v>9495</v>
      </c>
      <c r="W162" s="13">
        <f t="shared" si="7"/>
        <v>216538</v>
      </c>
      <c r="X162" s="13">
        <f t="shared" si="8"/>
        <v>179687</v>
      </c>
      <c r="Y162" s="13">
        <f t="shared" si="9"/>
        <v>50312</v>
      </c>
      <c r="Z162" s="11">
        <v>0</v>
      </c>
      <c r="AA162" s="13">
        <f>ROUND(X162+Y162+Z162,0)+1</f>
        <v>230000</v>
      </c>
      <c r="AB162" s="13" t="str">
        <f t="shared" si="44"/>
        <v>C</v>
      </c>
      <c r="AC162" s="15">
        <f>IF(AB162="A",VLOOKUP($G162,'[1]Price Components'!$B:$AC,7,0),IF(AB162="B",VLOOKUP($G162,'[1]Price Components'!$B:$AC,8,0),IF(AB162="C",VLOOKUP($G162,'[1]Price Components'!$B:$AC,9,0),IF(AB162="E",15%,IF(AB162="D",VLOOKUP($G162,'[1]Price Components'!$B:$AC,10,0))))))</f>
        <v>0.08</v>
      </c>
      <c r="AD162" s="13">
        <f>ROUND(IF(AC162=0,VLOOKUP($G162,'[1]Price Components'!$B:$AC,11,0),IF(I162="BASIC",X162*AC162,AA162*AC162)),0)</f>
        <v>18400</v>
      </c>
      <c r="AE162" s="13">
        <f>ROUND(VLOOKUP($G162,'[1]Price Components'!$B:$AC,12,0),0)</f>
        <v>445</v>
      </c>
      <c r="AF162" s="16">
        <f>VLOOKUP($G162,'[1]Price Components'!$B:$AC,14,0)</f>
        <v>7.92E-3</v>
      </c>
      <c r="AG162" s="16">
        <f>VLOOKUP($G162,'[1]Price Components'!$B:$AC,15,0)</f>
        <v>8.2979999999999998E-3</v>
      </c>
      <c r="AH162" s="13">
        <f t="shared" si="12"/>
        <v>1731</v>
      </c>
      <c r="AI162" s="13">
        <f t="shared" si="13"/>
        <v>7740</v>
      </c>
      <c r="AJ162" s="13">
        <f t="shared" si="14"/>
        <v>1705</v>
      </c>
      <c r="AK162" s="13">
        <f t="shared" si="15"/>
        <v>11176</v>
      </c>
      <c r="AL162" s="13">
        <f t="shared" si="16"/>
        <v>260021</v>
      </c>
      <c r="AM162" s="17"/>
      <c r="AN162" s="18">
        <v>230000</v>
      </c>
      <c r="AO162" s="18">
        <f t="shared" si="17"/>
        <v>0</v>
      </c>
      <c r="AP162" s="18"/>
    </row>
    <row r="163" spans="1:42" ht="15.75" customHeight="1" x14ac:dyDescent="0.3">
      <c r="A163" s="7"/>
      <c r="B163" s="7"/>
      <c r="C163" s="7" t="str">
        <f t="shared" si="0"/>
        <v>VBFV60RR24</v>
      </c>
      <c r="D163" s="7" t="s">
        <v>37</v>
      </c>
      <c r="E163" s="7"/>
      <c r="F163" s="8">
        <v>350</v>
      </c>
      <c r="G163" s="9" t="s">
        <v>67</v>
      </c>
      <c r="H163" s="7" t="str">
        <f>VLOOKUP(G163,'[1]Price Components'!B:C,2,0)</f>
        <v>Uttar Pradesh</v>
      </c>
      <c r="I163" s="7" t="str">
        <f>VLOOKUP(G163,'[1]Price Components'!B:D,3,0)</f>
        <v>EX-SHOWROOM</v>
      </c>
      <c r="J163" s="10">
        <f t="shared" si="1"/>
        <v>4.2502188908108571E-2</v>
      </c>
      <c r="K163" s="11">
        <v>144158</v>
      </c>
      <c r="L163" s="12">
        <f t="shared" si="2"/>
        <v>-47.916723966249265</v>
      </c>
      <c r="M163" s="11">
        <v>144110.08327603375</v>
      </c>
      <c r="N163" s="8">
        <v>1279</v>
      </c>
      <c r="O163" s="13">
        <f>VLOOKUP(G163,'[1]Price Components'!B:E,4,0)</f>
        <v>945</v>
      </c>
      <c r="P163" s="13">
        <f t="shared" si="3"/>
        <v>146334</v>
      </c>
      <c r="Q163" s="14">
        <f>ROUND(IF(F163&lt;500,VLOOKUP(G163,'[1]Price Components'!B:G,5,0),VLOOKUP(G163,'[1]Price Components'!B:G,6,0)),2)</f>
        <v>1272</v>
      </c>
      <c r="R163" s="11">
        <f t="shared" si="4"/>
        <v>7961</v>
      </c>
      <c r="S163" s="13">
        <v>0</v>
      </c>
      <c r="T163" s="11">
        <f t="shared" si="5"/>
        <v>7961</v>
      </c>
      <c r="U163" s="11">
        <v>292</v>
      </c>
      <c r="V163" s="13">
        <f t="shared" si="6"/>
        <v>8253</v>
      </c>
      <c r="W163" s="13">
        <f t="shared" si="7"/>
        <v>187308</v>
      </c>
      <c r="X163" s="13">
        <f t="shared" si="8"/>
        <v>155859</v>
      </c>
      <c r="Y163" s="13">
        <f t="shared" si="9"/>
        <v>43641</v>
      </c>
      <c r="Z163" s="11">
        <v>0</v>
      </c>
      <c r="AA163" s="13">
        <f t="shared" ref="AA163:AA168" si="51">ROUND(X163+Y163+Z163,0)</f>
        <v>199500</v>
      </c>
      <c r="AB163" s="13" t="str">
        <f t="shared" si="44"/>
        <v>B</v>
      </c>
      <c r="AC163" s="15">
        <f>IF(AB163="A",VLOOKUP($G163,'[1]Price Components'!$B:$AC,7,0),IF(AB163="B",VLOOKUP($G163,'[1]Price Components'!$B:$AC,8,0),IF(AB163="C",VLOOKUP($G163,'[1]Price Components'!$B:$AC,9,0),IF(AB163="E",15%,IF(AB163="D",VLOOKUP($G163,'[1]Price Components'!$B:$AC,10,0))))))</f>
        <v>0.1</v>
      </c>
      <c r="AD163" s="13">
        <f>ROUND(IF(AC163=0,VLOOKUP($G163,'[1]Price Components'!$B:$AC,11,0),IF(I163="BASIC",X163*AC163,AA163*AC163)),0)</f>
        <v>19950</v>
      </c>
      <c r="AE163" s="13">
        <f>ROUND(VLOOKUP($G163,'[1]Price Components'!$B:$AC,12,0),0)</f>
        <v>300</v>
      </c>
      <c r="AF163" s="16">
        <f>VLOOKUP($G163,'[1]Price Components'!$B:$AC,14,0)</f>
        <v>7.92E-3</v>
      </c>
      <c r="AG163" s="16">
        <f>VLOOKUP($G163,'[1]Price Components'!$B:$AC,15,0)</f>
        <v>8.2979999999999998E-3</v>
      </c>
      <c r="AH163" s="13">
        <f t="shared" si="12"/>
        <v>1501</v>
      </c>
      <c r="AI163" s="13">
        <f t="shared" si="13"/>
        <v>7740</v>
      </c>
      <c r="AJ163" s="13">
        <f t="shared" si="14"/>
        <v>1663</v>
      </c>
      <c r="AK163" s="13">
        <f t="shared" si="15"/>
        <v>10904</v>
      </c>
      <c r="AL163" s="13">
        <f t="shared" si="16"/>
        <v>230654</v>
      </c>
      <c r="AM163" s="17"/>
      <c r="AN163" s="18">
        <v>199500</v>
      </c>
      <c r="AO163" s="18">
        <f t="shared" si="17"/>
        <v>0</v>
      </c>
      <c r="AP163" s="18"/>
    </row>
    <row r="164" spans="1:42" ht="15.75" customHeight="1" x14ac:dyDescent="0.3">
      <c r="A164" s="7"/>
      <c r="B164" s="7"/>
      <c r="C164" s="7" t="str">
        <f t="shared" si="0"/>
        <v>VBFV60EB24</v>
      </c>
      <c r="D164" s="7" t="s">
        <v>39</v>
      </c>
      <c r="E164" s="7"/>
      <c r="F164" s="8">
        <v>350</v>
      </c>
      <c r="G164" s="9" t="s">
        <v>67</v>
      </c>
      <c r="H164" s="7" t="str">
        <f>VLOOKUP(G164,'[1]Price Components'!B:C,2,0)</f>
        <v>Uttar Pradesh</v>
      </c>
      <c r="I164" s="7" t="str">
        <f>VLOOKUP(G164,'[1]Price Components'!B:D,3,0)</f>
        <v>EX-SHOWROOM</v>
      </c>
      <c r="J164" s="10">
        <f t="shared" si="1"/>
        <v>4.2502188908108571E-2</v>
      </c>
      <c r="K164" s="11">
        <v>144158</v>
      </c>
      <c r="L164" s="12">
        <f t="shared" si="2"/>
        <v>-47.916723966249265</v>
      </c>
      <c r="M164" s="11">
        <v>144110.08327603375</v>
      </c>
      <c r="N164" s="8">
        <v>1279</v>
      </c>
      <c r="O164" s="13">
        <f>VLOOKUP(G164,'[1]Price Components'!B:E,4,0)</f>
        <v>945</v>
      </c>
      <c r="P164" s="13">
        <f t="shared" si="3"/>
        <v>146334</v>
      </c>
      <c r="Q164" s="14">
        <f>ROUND(IF(F164&lt;500,VLOOKUP(G164,'[1]Price Components'!B:G,5,0),VLOOKUP(G164,'[1]Price Components'!B:G,6,0)),2)</f>
        <v>1272</v>
      </c>
      <c r="R164" s="11">
        <f t="shared" si="4"/>
        <v>7961</v>
      </c>
      <c r="S164" s="13">
        <v>0</v>
      </c>
      <c r="T164" s="11">
        <f t="shared" si="5"/>
        <v>7961</v>
      </c>
      <c r="U164" s="11">
        <v>292</v>
      </c>
      <c r="V164" s="13">
        <f t="shared" si="6"/>
        <v>8253</v>
      </c>
      <c r="W164" s="13">
        <f t="shared" si="7"/>
        <v>187308</v>
      </c>
      <c r="X164" s="13">
        <f t="shared" si="8"/>
        <v>155859</v>
      </c>
      <c r="Y164" s="13">
        <f t="shared" si="9"/>
        <v>43641</v>
      </c>
      <c r="Z164" s="11">
        <v>0</v>
      </c>
      <c r="AA164" s="13">
        <f t="shared" si="51"/>
        <v>199500</v>
      </c>
      <c r="AB164" s="13" t="str">
        <f t="shared" si="44"/>
        <v>B</v>
      </c>
      <c r="AC164" s="15">
        <f>IF(AB164="A",VLOOKUP($G164,'[1]Price Components'!$B:$AC,7,0),IF(AB164="B",VLOOKUP($G164,'[1]Price Components'!$B:$AC,8,0),IF(AB164="C",VLOOKUP($G164,'[1]Price Components'!$B:$AC,9,0),IF(AB164="E",15%,IF(AB164="D",VLOOKUP($G164,'[1]Price Components'!$B:$AC,10,0))))))</f>
        <v>0.1</v>
      </c>
      <c r="AD164" s="13">
        <f>ROUND(IF(AC164=0,VLOOKUP($G164,'[1]Price Components'!$B:$AC,11,0),IF(I164="BASIC",X164*AC164,AA164*AC164)),0)</f>
        <v>19950</v>
      </c>
      <c r="AE164" s="13">
        <f>ROUND(VLOOKUP($G164,'[1]Price Components'!$B:$AC,12,0),0)</f>
        <v>300</v>
      </c>
      <c r="AF164" s="16">
        <f>VLOOKUP($G164,'[1]Price Components'!$B:$AC,14,0)</f>
        <v>7.92E-3</v>
      </c>
      <c r="AG164" s="16">
        <f>VLOOKUP($G164,'[1]Price Components'!$B:$AC,15,0)</f>
        <v>8.2979999999999998E-3</v>
      </c>
      <c r="AH164" s="13">
        <f t="shared" si="12"/>
        <v>1501</v>
      </c>
      <c r="AI164" s="13">
        <f t="shared" si="13"/>
        <v>7740</v>
      </c>
      <c r="AJ164" s="13">
        <f t="shared" si="14"/>
        <v>1663</v>
      </c>
      <c r="AK164" s="13">
        <f t="shared" si="15"/>
        <v>10904</v>
      </c>
      <c r="AL164" s="13">
        <f t="shared" si="16"/>
        <v>230654</v>
      </c>
      <c r="AM164" s="17"/>
      <c r="AN164" s="18">
        <v>199500</v>
      </c>
      <c r="AO164" s="18">
        <f t="shared" si="17"/>
        <v>0</v>
      </c>
      <c r="AP164" s="18"/>
    </row>
    <row r="165" spans="1:42" ht="15.75" customHeight="1" x14ac:dyDescent="0.3">
      <c r="A165" s="7"/>
      <c r="B165" s="7"/>
      <c r="C165" s="7" t="str">
        <f t="shared" si="0"/>
        <v>VBFV60HG24</v>
      </c>
      <c r="D165" s="7" t="s">
        <v>40</v>
      </c>
      <c r="E165" s="7"/>
      <c r="F165" s="8">
        <v>350</v>
      </c>
      <c r="G165" s="9" t="s">
        <v>67</v>
      </c>
      <c r="H165" s="7" t="str">
        <f>VLOOKUP(G165,'[1]Price Components'!B:C,2,0)</f>
        <v>Uttar Pradesh</v>
      </c>
      <c r="I165" s="7" t="str">
        <f>VLOOKUP(G165,'[1]Price Components'!B:D,3,0)</f>
        <v>EX-SHOWROOM</v>
      </c>
      <c r="J165" s="10">
        <f t="shared" si="1"/>
        <v>4.2500104397210504E-2</v>
      </c>
      <c r="K165" s="11">
        <v>147492</v>
      </c>
      <c r="L165" s="12">
        <f t="shared" si="2"/>
        <v>-47.386987951816991</v>
      </c>
      <c r="M165" s="11">
        <v>147444.61301204818</v>
      </c>
      <c r="N165" s="8">
        <v>1279</v>
      </c>
      <c r="O165" s="13">
        <f>VLOOKUP(G165,'[1]Price Components'!B:E,4,0)</f>
        <v>945</v>
      </c>
      <c r="P165" s="13">
        <f t="shared" si="3"/>
        <v>149669</v>
      </c>
      <c r="Q165" s="14">
        <f>ROUND(IF(F165&lt;500,VLOOKUP(G165,'[1]Price Components'!B:G,5,0),VLOOKUP(G165,'[1]Price Components'!B:G,6,0)),2)</f>
        <v>1272</v>
      </c>
      <c r="R165" s="11">
        <f t="shared" si="4"/>
        <v>8142</v>
      </c>
      <c r="S165" s="13">
        <v>0</v>
      </c>
      <c r="T165" s="11">
        <f t="shared" si="5"/>
        <v>8142</v>
      </c>
      <c r="U165" s="11">
        <v>292</v>
      </c>
      <c r="V165" s="13">
        <f t="shared" si="6"/>
        <v>8434</v>
      </c>
      <c r="W165" s="13">
        <f t="shared" si="7"/>
        <v>191576</v>
      </c>
      <c r="X165" s="13">
        <f t="shared" si="8"/>
        <v>159375</v>
      </c>
      <c r="Y165" s="13">
        <f t="shared" si="9"/>
        <v>44625</v>
      </c>
      <c r="Z165" s="11">
        <v>0</v>
      </c>
      <c r="AA165" s="13">
        <f t="shared" si="51"/>
        <v>204000</v>
      </c>
      <c r="AB165" s="13" t="str">
        <f t="shared" si="44"/>
        <v>C</v>
      </c>
      <c r="AC165" s="15">
        <f>IF(AB165="A",VLOOKUP($G165,'[1]Price Components'!$B:$AC,7,0),IF(AB165="B",VLOOKUP($G165,'[1]Price Components'!$B:$AC,8,0),IF(AB165="C",VLOOKUP($G165,'[1]Price Components'!$B:$AC,9,0),IF(AB165="E",15%,IF(AB165="D",VLOOKUP($G165,'[1]Price Components'!$B:$AC,10,0))))))</f>
        <v>0.1</v>
      </c>
      <c r="AD165" s="13">
        <f>ROUND(IF(AC165=0,VLOOKUP($G165,'[1]Price Components'!$B:$AC,11,0),IF(I165="BASIC",X165*AC165,AA165*AC165)),0)</f>
        <v>20400</v>
      </c>
      <c r="AE165" s="13">
        <f>ROUND(VLOOKUP($G165,'[1]Price Components'!$B:$AC,12,0),0)</f>
        <v>300</v>
      </c>
      <c r="AF165" s="16">
        <f>VLOOKUP($G165,'[1]Price Components'!$B:$AC,14,0)</f>
        <v>7.92E-3</v>
      </c>
      <c r="AG165" s="16">
        <f>VLOOKUP($G165,'[1]Price Components'!$B:$AC,15,0)</f>
        <v>8.2979999999999998E-3</v>
      </c>
      <c r="AH165" s="13">
        <f t="shared" si="12"/>
        <v>1535</v>
      </c>
      <c r="AI165" s="13">
        <f t="shared" si="13"/>
        <v>7740</v>
      </c>
      <c r="AJ165" s="13">
        <f t="shared" si="14"/>
        <v>1670</v>
      </c>
      <c r="AK165" s="13">
        <f t="shared" si="15"/>
        <v>10945</v>
      </c>
      <c r="AL165" s="13">
        <f t="shared" si="16"/>
        <v>235645</v>
      </c>
      <c r="AM165" s="17"/>
      <c r="AN165" s="18">
        <v>204000</v>
      </c>
      <c r="AO165" s="18">
        <f t="shared" si="17"/>
        <v>0</v>
      </c>
      <c r="AP165" s="18"/>
    </row>
    <row r="166" spans="1:42" ht="15.75" customHeight="1" x14ac:dyDescent="0.3">
      <c r="A166" s="7"/>
      <c r="B166" s="7"/>
      <c r="C166" s="7" t="str">
        <f t="shared" si="0"/>
        <v>VBFV60SE24</v>
      </c>
      <c r="D166" s="7" t="s">
        <v>41</v>
      </c>
      <c r="E166" s="7"/>
      <c r="F166" s="8">
        <v>350</v>
      </c>
      <c r="G166" s="9" t="s">
        <v>67</v>
      </c>
      <c r="H166" s="7" t="str">
        <f>VLOOKUP(G166,'[1]Price Components'!B:C,2,0)</f>
        <v>Uttar Pradesh</v>
      </c>
      <c r="I166" s="7" t="str">
        <f>VLOOKUP(G166,'[1]Price Components'!B:D,3,0)</f>
        <v>EX-SHOWROOM</v>
      </c>
      <c r="J166" s="10">
        <f t="shared" si="1"/>
        <v>4.2501613642298618E-2</v>
      </c>
      <c r="K166" s="11">
        <v>156384</v>
      </c>
      <c r="L166" s="12">
        <f t="shared" si="2"/>
        <v>-48.151983138901414</v>
      </c>
      <c r="M166" s="11">
        <v>156335.8480168611</v>
      </c>
      <c r="N166" s="8">
        <v>1279</v>
      </c>
      <c r="O166" s="13">
        <f>VLOOKUP(G166,'[1]Price Components'!B:E,4,0)</f>
        <v>945</v>
      </c>
      <c r="P166" s="13">
        <f t="shared" si="3"/>
        <v>158560</v>
      </c>
      <c r="Q166" s="14">
        <f>ROUND(IF(F166&lt;500,VLOOKUP(G166,'[1]Price Components'!B:G,5,0),VLOOKUP(G166,'[1]Price Components'!B:G,6,0)),2)</f>
        <v>1272</v>
      </c>
      <c r="R166" s="11">
        <f t="shared" si="4"/>
        <v>8626</v>
      </c>
      <c r="S166" s="13">
        <v>0</v>
      </c>
      <c r="T166" s="11">
        <f t="shared" si="5"/>
        <v>8626</v>
      </c>
      <c r="U166" s="11">
        <v>292</v>
      </c>
      <c r="V166" s="13">
        <f t="shared" si="6"/>
        <v>8918</v>
      </c>
      <c r="W166" s="13">
        <f t="shared" si="7"/>
        <v>202957</v>
      </c>
      <c r="X166" s="13">
        <f t="shared" si="8"/>
        <v>168750</v>
      </c>
      <c r="Y166" s="13">
        <f t="shared" si="9"/>
        <v>47250</v>
      </c>
      <c r="Z166" s="11">
        <v>0</v>
      </c>
      <c r="AA166" s="13">
        <f t="shared" si="51"/>
        <v>216000</v>
      </c>
      <c r="AB166" s="13" t="str">
        <f t="shared" si="44"/>
        <v>C</v>
      </c>
      <c r="AC166" s="15">
        <f>IF(AB166="A",VLOOKUP($G166,'[1]Price Components'!$B:$AC,7,0),IF(AB166="B",VLOOKUP($G166,'[1]Price Components'!$B:$AC,8,0),IF(AB166="C",VLOOKUP($G166,'[1]Price Components'!$B:$AC,9,0),IF(AB166="E",15%,IF(AB166="D",VLOOKUP($G166,'[1]Price Components'!$B:$AC,10,0))))))</f>
        <v>0.1</v>
      </c>
      <c r="AD166" s="13">
        <f>ROUND(IF(AC166=0,VLOOKUP($G166,'[1]Price Components'!$B:$AC,11,0),IF(I166="BASIC",X166*AC166,AA166*AC166)),0)</f>
        <v>21600</v>
      </c>
      <c r="AE166" s="13">
        <f>ROUND(VLOOKUP($G166,'[1]Price Components'!$B:$AC,12,0),0)</f>
        <v>300</v>
      </c>
      <c r="AF166" s="16">
        <f>VLOOKUP($G166,'[1]Price Components'!$B:$AC,14,0)</f>
        <v>7.92E-3</v>
      </c>
      <c r="AG166" s="16">
        <f>VLOOKUP($G166,'[1]Price Components'!$B:$AC,15,0)</f>
        <v>8.2979999999999998E-3</v>
      </c>
      <c r="AH166" s="13">
        <f t="shared" si="12"/>
        <v>1625</v>
      </c>
      <c r="AI166" s="13">
        <f t="shared" si="13"/>
        <v>7740</v>
      </c>
      <c r="AJ166" s="13">
        <f t="shared" si="14"/>
        <v>1686</v>
      </c>
      <c r="AK166" s="13">
        <f t="shared" si="15"/>
        <v>11051</v>
      </c>
      <c r="AL166" s="13">
        <f t="shared" si="16"/>
        <v>248951</v>
      </c>
      <c r="AM166" s="17"/>
      <c r="AN166" s="18">
        <v>216000</v>
      </c>
      <c r="AO166" s="18">
        <f t="shared" si="17"/>
        <v>0</v>
      </c>
      <c r="AP166" s="18"/>
    </row>
    <row r="167" spans="1:42" ht="15.75" customHeight="1" x14ac:dyDescent="0.3">
      <c r="A167" s="7"/>
      <c r="B167" s="7"/>
      <c r="C167" s="7" t="str">
        <f t="shared" si="0"/>
        <v>VBFV60GM24</v>
      </c>
      <c r="D167" s="7" t="s">
        <v>42</v>
      </c>
      <c r="E167" s="7"/>
      <c r="F167" s="8">
        <v>350</v>
      </c>
      <c r="G167" s="9" t="s">
        <v>67</v>
      </c>
      <c r="H167" s="7" t="str">
        <f>VLOOKUP(G167,'[1]Price Components'!B:C,2,0)</f>
        <v>Uttar Pradesh</v>
      </c>
      <c r="I167" s="7" t="str">
        <f>VLOOKUP(G167,'[1]Price Components'!B:D,3,0)</f>
        <v>EX-SHOWROOM</v>
      </c>
      <c r="J167" s="10">
        <f t="shared" si="1"/>
        <v>4.2497860449282013E-2</v>
      </c>
      <c r="K167" s="11">
        <v>163052</v>
      </c>
      <c r="L167" s="12">
        <f t="shared" si="2"/>
        <v>-47.390227066294756</v>
      </c>
      <c r="M167" s="11">
        <v>163004.60977293371</v>
      </c>
      <c r="N167" s="8">
        <v>1279</v>
      </c>
      <c r="O167" s="13">
        <f>VLOOKUP(G167,'[1]Price Components'!B:E,4,0)</f>
        <v>945</v>
      </c>
      <c r="P167" s="13">
        <f t="shared" si="3"/>
        <v>165229</v>
      </c>
      <c r="Q167" s="14">
        <f>ROUND(IF(F167&lt;500,VLOOKUP(G167,'[1]Price Components'!B:G,5,0),VLOOKUP(G167,'[1]Price Components'!B:G,6,0)),2)</f>
        <v>1272</v>
      </c>
      <c r="R167" s="11">
        <f t="shared" si="4"/>
        <v>8988</v>
      </c>
      <c r="S167" s="13">
        <v>0</v>
      </c>
      <c r="T167" s="11">
        <f t="shared" si="5"/>
        <v>8988</v>
      </c>
      <c r="U167" s="11">
        <v>292</v>
      </c>
      <c r="V167" s="13">
        <f t="shared" si="6"/>
        <v>9280</v>
      </c>
      <c r="W167" s="13">
        <f t="shared" si="7"/>
        <v>211493</v>
      </c>
      <c r="X167" s="13">
        <f t="shared" si="8"/>
        <v>175781</v>
      </c>
      <c r="Y167" s="13">
        <f t="shared" si="9"/>
        <v>49219</v>
      </c>
      <c r="Z167" s="11">
        <v>0</v>
      </c>
      <c r="AA167" s="13">
        <f t="shared" si="51"/>
        <v>225000</v>
      </c>
      <c r="AB167" s="13" t="str">
        <f t="shared" si="44"/>
        <v>C</v>
      </c>
      <c r="AC167" s="15">
        <f>IF(AB167="A",VLOOKUP($G167,'[1]Price Components'!$B:$AC,7,0),IF(AB167="B",VLOOKUP($G167,'[1]Price Components'!$B:$AC,8,0),IF(AB167="C",VLOOKUP($G167,'[1]Price Components'!$B:$AC,9,0),IF(AB167="E",15%,IF(AB167="D",VLOOKUP($G167,'[1]Price Components'!$B:$AC,10,0))))))</f>
        <v>0.1</v>
      </c>
      <c r="AD167" s="13">
        <f>ROUND(IF(AC167=0,VLOOKUP($G167,'[1]Price Components'!$B:$AC,11,0),IF(I167="BASIC",X167*AC167,AA167*AC167)),0)</f>
        <v>22500</v>
      </c>
      <c r="AE167" s="13">
        <f>ROUND(VLOOKUP($G167,'[1]Price Components'!$B:$AC,12,0),0)</f>
        <v>300</v>
      </c>
      <c r="AF167" s="16">
        <f>VLOOKUP($G167,'[1]Price Components'!$B:$AC,14,0)</f>
        <v>7.92E-3</v>
      </c>
      <c r="AG167" s="16">
        <f>VLOOKUP($G167,'[1]Price Components'!$B:$AC,15,0)</f>
        <v>8.2979999999999998E-3</v>
      </c>
      <c r="AH167" s="13">
        <f t="shared" si="12"/>
        <v>1693</v>
      </c>
      <c r="AI167" s="13">
        <f t="shared" si="13"/>
        <v>7740</v>
      </c>
      <c r="AJ167" s="13">
        <f t="shared" si="14"/>
        <v>1698</v>
      </c>
      <c r="AK167" s="13">
        <f t="shared" si="15"/>
        <v>11131</v>
      </c>
      <c r="AL167" s="13">
        <f t="shared" si="16"/>
        <v>258931</v>
      </c>
      <c r="AM167" s="17"/>
      <c r="AN167" s="18">
        <v>225000</v>
      </c>
      <c r="AO167" s="18">
        <f t="shared" si="17"/>
        <v>0</v>
      </c>
      <c r="AP167" s="18"/>
    </row>
    <row r="168" spans="1:42" ht="15.75" customHeight="1" x14ac:dyDescent="0.3">
      <c r="A168" s="7"/>
      <c r="B168" s="7"/>
      <c r="C168" s="7" t="str">
        <f t="shared" si="0"/>
        <v>VBFV60SB24</v>
      </c>
      <c r="D168" s="7" t="s">
        <v>43</v>
      </c>
      <c r="E168" s="7"/>
      <c r="F168" s="8">
        <v>350</v>
      </c>
      <c r="G168" s="9" t="s">
        <v>67</v>
      </c>
      <c r="H168" s="7" t="str">
        <f>VLOOKUP(G168,'[1]Price Components'!B:C,2,0)</f>
        <v>Uttar Pradesh</v>
      </c>
      <c r="I168" s="7" t="str">
        <f>VLOOKUP(G168,'[1]Price Components'!B:D,3,0)</f>
        <v>EX-SHOWROOM</v>
      </c>
      <c r="J168" s="10">
        <f t="shared" si="1"/>
        <v>4.2497860449282013E-2</v>
      </c>
      <c r="K168" s="11">
        <v>163052</v>
      </c>
      <c r="L168" s="12">
        <f t="shared" si="2"/>
        <v>-47.390227066294756</v>
      </c>
      <c r="M168" s="11">
        <v>163004.60977293371</v>
      </c>
      <c r="N168" s="8">
        <v>1279</v>
      </c>
      <c r="O168" s="13">
        <f>VLOOKUP(G168,'[1]Price Components'!B:E,4,0)</f>
        <v>945</v>
      </c>
      <c r="P168" s="13">
        <f t="shared" si="3"/>
        <v>165229</v>
      </c>
      <c r="Q168" s="14">
        <f>ROUND(IF(F168&lt;500,VLOOKUP(G168,'[1]Price Components'!B:G,5,0),VLOOKUP(G168,'[1]Price Components'!B:G,6,0)),2)</f>
        <v>1272</v>
      </c>
      <c r="R168" s="11">
        <f t="shared" si="4"/>
        <v>8988</v>
      </c>
      <c r="S168" s="13">
        <v>0</v>
      </c>
      <c r="T168" s="11">
        <f t="shared" si="5"/>
        <v>8988</v>
      </c>
      <c r="U168" s="11">
        <v>292</v>
      </c>
      <c r="V168" s="13">
        <f t="shared" si="6"/>
        <v>9280</v>
      </c>
      <c r="W168" s="13">
        <f t="shared" si="7"/>
        <v>211493</v>
      </c>
      <c r="X168" s="13">
        <f t="shared" si="8"/>
        <v>175781</v>
      </c>
      <c r="Y168" s="13">
        <f t="shared" si="9"/>
        <v>49219</v>
      </c>
      <c r="Z168" s="11">
        <v>0</v>
      </c>
      <c r="AA168" s="13">
        <f t="shared" si="51"/>
        <v>225000</v>
      </c>
      <c r="AB168" s="13" t="str">
        <f t="shared" si="44"/>
        <v>C</v>
      </c>
      <c r="AC168" s="15">
        <f>IF(AB168="A",VLOOKUP($G168,'[1]Price Components'!$B:$AC,7,0),IF(AB168="B",VLOOKUP($G168,'[1]Price Components'!$B:$AC,8,0),IF(AB168="C",VLOOKUP($G168,'[1]Price Components'!$B:$AC,9,0),IF(AB168="E",15%,IF(AB168="D",VLOOKUP($G168,'[1]Price Components'!$B:$AC,10,0))))))</f>
        <v>0.1</v>
      </c>
      <c r="AD168" s="13">
        <f>ROUND(IF(AC168=0,VLOOKUP($G168,'[1]Price Components'!$B:$AC,11,0),IF(I168="BASIC",X168*AC168,AA168*AC168)),0)</f>
        <v>22500</v>
      </c>
      <c r="AE168" s="13">
        <f>ROUND(VLOOKUP($G168,'[1]Price Components'!$B:$AC,12,0),0)</f>
        <v>300</v>
      </c>
      <c r="AF168" s="16">
        <f>VLOOKUP($G168,'[1]Price Components'!$B:$AC,14,0)</f>
        <v>7.92E-3</v>
      </c>
      <c r="AG168" s="16">
        <f>VLOOKUP($G168,'[1]Price Components'!$B:$AC,15,0)</f>
        <v>8.2979999999999998E-3</v>
      </c>
      <c r="AH168" s="13">
        <f t="shared" si="12"/>
        <v>1693</v>
      </c>
      <c r="AI168" s="13">
        <f t="shared" si="13"/>
        <v>7740</v>
      </c>
      <c r="AJ168" s="13">
        <f t="shared" si="14"/>
        <v>1698</v>
      </c>
      <c r="AK168" s="13">
        <f t="shared" si="15"/>
        <v>11131</v>
      </c>
      <c r="AL168" s="13">
        <f t="shared" si="16"/>
        <v>258931</v>
      </c>
      <c r="AM168" s="17"/>
      <c r="AN168" s="18">
        <v>225000</v>
      </c>
      <c r="AO168" s="18">
        <f t="shared" si="17"/>
        <v>0</v>
      </c>
      <c r="AP168" s="18"/>
    </row>
    <row r="169" spans="1:42" ht="15.75" customHeight="1" x14ac:dyDescent="0.3">
      <c r="A169" s="7"/>
      <c r="B169" s="7"/>
      <c r="C169" s="7" t="str">
        <f t="shared" si="0"/>
        <v>VBFV60DN24</v>
      </c>
      <c r="D169" s="7" t="s">
        <v>44</v>
      </c>
      <c r="E169" s="7"/>
      <c r="F169" s="8">
        <v>350</v>
      </c>
      <c r="G169" s="9" t="s">
        <v>67</v>
      </c>
      <c r="H169" s="7" t="str">
        <f>VLOOKUP(G169,'[1]Price Components'!B:C,2,0)</f>
        <v>Uttar Pradesh</v>
      </c>
      <c r="I169" s="7" t="str">
        <f>VLOOKUP(G169,'[1]Price Components'!B:D,3,0)</f>
        <v>EX-SHOWROOM</v>
      </c>
      <c r="J169" s="10">
        <f t="shared" si="1"/>
        <v>4.2500254354079378E-2</v>
      </c>
      <c r="K169" s="11">
        <v>166757</v>
      </c>
      <c r="L169" s="12">
        <f t="shared" si="2"/>
        <v>-48.131579348410014</v>
      </c>
      <c r="M169" s="11">
        <v>166708.86842065159</v>
      </c>
      <c r="N169" s="8">
        <v>1279</v>
      </c>
      <c r="O169" s="13">
        <f>VLOOKUP(G169,'[1]Price Components'!B:E,4,0)</f>
        <v>945</v>
      </c>
      <c r="P169" s="13">
        <f t="shared" si="3"/>
        <v>168933</v>
      </c>
      <c r="Q169" s="14">
        <f>ROUND(IF(F169&lt;500,VLOOKUP(G169,'[1]Price Components'!B:G,5,0),VLOOKUP(G169,'[1]Price Components'!B:G,6,0)),2)</f>
        <v>1272</v>
      </c>
      <c r="R169" s="11">
        <f t="shared" si="4"/>
        <v>9190</v>
      </c>
      <c r="S169" s="13">
        <v>0</v>
      </c>
      <c r="T169" s="11">
        <f t="shared" si="5"/>
        <v>9190</v>
      </c>
      <c r="U169" s="11">
        <v>292</v>
      </c>
      <c r="V169" s="13">
        <f t="shared" si="6"/>
        <v>9482</v>
      </c>
      <c r="W169" s="13">
        <f t="shared" si="7"/>
        <v>216234</v>
      </c>
      <c r="X169" s="13">
        <f t="shared" si="8"/>
        <v>179687</v>
      </c>
      <c r="Y169" s="13">
        <f t="shared" si="9"/>
        <v>50312</v>
      </c>
      <c r="Z169" s="11">
        <v>0</v>
      </c>
      <c r="AA169" s="13">
        <f>ROUND(X169+Y169+Z169,0)+1</f>
        <v>230000</v>
      </c>
      <c r="AB169" s="13" t="str">
        <f t="shared" si="44"/>
        <v>C</v>
      </c>
      <c r="AC169" s="15">
        <f>IF(AB169="A",VLOOKUP($G169,'[1]Price Components'!$B:$AC,7,0),IF(AB169="B",VLOOKUP($G169,'[1]Price Components'!$B:$AC,8,0),IF(AB169="C",VLOOKUP($G169,'[1]Price Components'!$B:$AC,9,0),IF(AB169="E",15%,IF(AB169="D",VLOOKUP($G169,'[1]Price Components'!$B:$AC,10,0))))))</f>
        <v>0.1</v>
      </c>
      <c r="AD169" s="13">
        <f>ROUND(IF(AC169=0,VLOOKUP($G169,'[1]Price Components'!$B:$AC,11,0),IF(I169="BASIC",X169*AC169,AA169*AC169)),0)</f>
        <v>23000</v>
      </c>
      <c r="AE169" s="13">
        <f>ROUND(VLOOKUP($G169,'[1]Price Components'!$B:$AC,12,0),0)</f>
        <v>300</v>
      </c>
      <c r="AF169" s="16">
        <f>VLOOKUP($G169,'[1]Price Components'!$B:$AC,14,0)</f>
        <v>7.92E-3</v>
      </c>
      <c r="AG169" s="16">
        <f>VLOOKUP($G169,'[1]Price Components'!$B:$AC,15,0)</f>
        <v>8.2979999999999998E-3</v>
      </c>
      <c r="AH169" s="13">
        <f t="shared" si="12"/>
        <v>1731</v>
      </c>
      <c r="AI169" s="13">
        <f t="shared" si="13"/>
        <v>7740</v>
      </c>
      <c r="AJ169" s="13">
        <f t="shared" si="14"/>
        <v>1705</v>
      </c>
      <c r="AK169" s="13">
        <f t="shared" si="15"/>
        <v>11176</v>
      </c>
      <c r="AL169" s="13">
        <f t="shared" si="16"/>
        <v>264476</v>
      </c>
      <c r="AM169" s="17"/>
      <c r="AN169" s="18">
        <v>230000</v>
      </c>
      <c r="AO169" s="18">
        <f t="shared" si="17"/>
        <v>0</v>
      </c>
      <c r="AP169" s="18"/>
    </row>
    <row r="170" spans="1:42" ht="15.75" customHeight="1" x14ac:dyDescent="0.3">
      <c r="A170" s="7"/>
      <c r="B170" s="7"/>
      <c r="C170" s="7" t="str">
        <f t="shared" si="0"/>
        <v>VBFV60RR25</v>
      </c>
      <c r="D170" s="7" t="s">
        <v>37</v>
      </c>
      <c r="E170" s="7"/>
      <c r="F170" s="8">
        <v>350</v>
      </c>
      <c r="G170" s="9" t="s">
        <v>68</v>
      </c>
      <c r="H170" s="7" t="str">
        <f>VLOOKUP(G170,'[1]Price Components'!B:C,2,0)</f>
        <v>West Bengal</v>
      </c>
      <c r="I170" s="7" t="str">
        <f>VLOOKUP(G170,'[1]Price Components'!B:D,3,0)</f>
        <v>EX-SHOWROOM</v>
      </c>
      <c r="J170" s="10">
        <f t="shared" si="1"/>
        <v>4.2497435869897918E-2</v>
      </c>
      <c r="K170" s="11">
        <v>144158</v>
      </c>
      <c r="L170" s="12">
        <f t="shared" si="2"/>
        <v>-663.55850110453321</v>
      </c>
      <c r="M170" s="11">
        <v>143494.44149889547</v>
      </c>
      <c r="N170" s="8">
        <v>1279</v>
      </c>
      <c r="O170" s="13">
        <f>VLOOKUP(G170,'[1]Price Components'!B:E,4,0)</f>
        <v>714</v>
      </c>
      <c r="P170" s="13">
        <f t="shared" si="3"/>
        <v>145487</v>
      </c>
      <c r="Q170" s="14">
        <f>ROUND(IF(F170&lt;500,VLOOKUP(G170,'[1]Price Components'!B:G,5,0),VLOOKUP(G170,'[1]Price Components'!B:G,6,0)),2)</f>
        <v>2164.5</v>
      </c>
      <c r="R170" s="11">
        <f t="shared" si="4"/>
        <v>7914</v>
      </c>
      <c r="S170" s="13">
        <v>0</v>
      </c>
      <c r="T170" s="11">
        <f t="shared" si="5"/>
        <v>7914</v>
      </c>
      <c r="U170" s="11">
        <v>292</v>
      </c>
      <c r="V170" s="13">
        <f t="shared" si="6"/>
        <v>8206</v>
      </c>
      <c r="W170" s="13">
        <f t="shared" si="7"/>
        <v>186223</v>
      </c>
      <c r="X170" s="13">
        <f t="shared" si="8"/>
        <v>155857.5</v>
      </c>
      <c r="Y170" s="13">
        <f t="shared" si="9"/>
        <v>43640</v>
      </c>
      <c r="Z170" s="11">
        <v>0</v>
      </c>
      <c r="AA170" s="13">
        <f t="shared" ref="AA170:AA171" si="52">ROUND(X170+Y170+Z170,0)+2</f>
        <v>199500</v>
      </c>
      <c r="AB170" s="13" t="str">
        <f t="shared" si="44"/>
        <v>B</v>
      </c>
      <c r="AC170" s="15">
        <f>IF(AB170="A",VLOOKUP($G170,'[1]Price Components'!$B:$AC,7,0),IF(AB170="B",VLOOKUP($G170,'[1]Price Components'!$B:$AC,8,0),IF(AB170="C",VLOOKUP($G170,'[1]Price Components'!$B:$AC,9,0),IF(AB170="E",15%,IF(AB170="D",VLOOKUP($G170,'[1]Price Components'!$B:$AC,10,0))))))</f>
        <v>0.1</v>
      </c>
      <c r="AD170" s="13">
        <f>ROUND(IF(AC170=0,VLOOKUP($G170,'[1]Price Components'!$B:$AC,11,0),IF(I170="BASIC",X170*AC170,AA170*AC170)),0)</f>
        <v>19950</v>
      </c>
      <c r="AE170" s="13">
        <f>ROUND(VLOOKUP($G170,'[1]Price Components'!$B:$AC,12,0),0)</f>
        <v>1290</v>
      </c>
      <c r="AF170" s="16">
        <f>VLOOKUP($G170,'[1]Price Components'!$B:$AC,14,0)</f>
        <v>7.92E-3</v>
      </c>
      <c r="AG170" s="16">
        <f>VLOOKUP($G170,'[1]Price Components'!$B:$AC,15,0)</f>
        <v>8.2979999999999998E-3</v>
      </c>
      <c r="AH170" s="13">
        <f t="shared" si="12"/>
        <v>1501</v>
      </c>
      <c r="AI170" s="13">
        <f t="shared" si="13"/>
        <v>7740</v>
      </c>
      <c r="AJ170" s="13">
        <f t="shared" si="14"/>
        <v>1663</v>
      </c>
      <c r="AK170" s="13">
        <f t="shared" si="15"/>
        <v>10904</v>
      </c>
      <c r="AL170" s="13">
        <f t="shared" si="16"/>
        <v>231644</v>
      </c>
      <c r="AM170" s="17"/>
      <c r="AN170" s="18">
        <v>199500</v>
      </c>
      <c r="AO170" s="18">
        <f t="shared" si="17"/>
        <v>0</v>
      </c>
      <c r="AP170" s="18"/>
    </row>
    <row r="171" spans="1:42" ht="15.75" customHeight="1" x14ac:dyDescent="0.3">
      <c r="A171" s="7"/>
      <c r="B171" s="7"/>
      <c r="C171" s="7" t="str">
        <f t="shared" si="0"/>
        <v>VBFV60EB25</v>
      </c>
      <c r="D171" s="7" t="s">
        <v>39</v>
      </c>
      <c r="E171" s="7"/>
      <c r="F171" s="8">
        <v>350</v>
      </c>
      <c r="G171" s="9" t="s">
        <v>68</v>
      </c>
      <c r="H171" s="7" t="str">
        <f>VLOOKUP(G171,'[1]Price Components'!B:C,2,0)</f>
        <v>West Bengal</v>
      </c>
      <c r="I171" s="7" t="str">
        <f>VLOOKUP(G171,'[1]Price Components'!B:D,3,0)</f>
        <v>EX-SHOWROOM</v>
      </c>
      <c r="J171" s="10">
        <f t="shared" si="1"/>
        <v>4.2497435869897918E-2</v>
      </c>
      <c r="K171" s="11">
        <v>144158</v>
      </c>
      <c r="L171" s="12">
        <f t="shared" si="2"/>
        <v>-663.55850110453321</v>
      </c>
      <c r="M171" s="11">
        <v>143494.44149889547</v>
      </c>
      <c r="N171" s="8">
        <v>1279</v>
      </c>
      <c r="O171" s="13">
        <f>VLOOKUP(G171,'[1]Price Components'!B:E,4,0)</f>
        <v>714</v>
      </c>
      <c r="P171" s="13">
        <f t="shared" si="3"/>
        <v>145487</v>
      </c>
      <c r="Q171" s="14">
        <f>ROUND(IF(F171&lt;500,VLOOKUP(G171,'[1]Price Components'!B:G,5,0),VLOOKUP(G171,'[1]Price Components'!B:G,6,0)),2)</f>
        <v>2164.5</v>
      </c>
      <c r="R171" s="11">
        <f t="shared" si="4"/>
        <v>7914</v>
      </c>
      <c r="S171" s="13">
        <v>0</v>
      </c>
      <c r="T171" s="11">
        <f t="shared" si="5"/>
        <v>7914</v>
      </c>
      <c r="U171" s="11">
        <v>292</v>
      </c>
      <c r="V171" s="13">
        <f t="shared" si="6"/>
        <v>8206</v>
      </c>
      <c r="W171" s="13">
        <f t="shared" si="7"/>
        <v>186223</v>
      </c>
      <c r="X171" s="13">
        <f t="shared" si="8"/>
        <v>155857.5</v>
      </c>
      <c r="Y171" s="13">
        <f t="shared" si="9"/>
        <v>43640</v>
      </c>
      <c r="Z171" s="11">
        <v>0</v>
      </c>
      <c r="AA171" s="13">
        <f t="shared" si="52"/>
        <v>199500</v>
      </c>
      <c r="AB171" s="13" t="str">
        <f t="shared" si="44"/>
        <v>B</v>
      </c>
      <c r="AC171" s="15">
        <f>IF(AB171="A",VLOOKUP($G171,'[1]Price Components'!$B:$AC,7,0),IF(AB171="B",VLOOKUP($G171,'[1]Price Components'!$B:$AC,8,0),IF(AB171="C",VLOOKUP($G171,'[1]Price Components'!$B:$AC,9,0),IF(AB171="E",15%,IF(AB171="D",VLOOKUP($G171,'[1]Price Components'!$B:$AC,10,0))))))</f>
        <v>0.1</v>
      </c>
      <c r="AD171" s="13">
        <f>ROUND(IF(AC171=0,VLOOKUP($G171,'[1]Price Components'!$B:$AC,11,0),IF(I171="BASIC",X171*AC171,AA171*AC171)),0)</f>
        <v>19950</v>
      </c>
      <c r="AE171" s="13">
        <f>ROUND(VLOOKUP($G171,'[1]Price Components'!$B:$AC,12,0),0)</f>
        <v>1290</v>
      </c>
      <c r="AF171" s="16">
        <f>VLOOKUP($G171,'[1]Price Components'!$B:$AC,14,0)</f>
        <v>7.92E-3</v>
      </c>
      <c r="AG171" s="16">
        <f>VLOOKUP($G171,'[1]Price Components'!$B:$AC,15,0)</f>
        <v>8.2979999999999998E-3</v>
      </c>
      <c r="AH171" s="13">
        <f t="shared" si="12"/>
        <v>1501</v>
      </c>
      <c r="AI171" s="13">
        <f t="shared" si="13"/>
        <v>7740</v>
      </c>
      <c r="AJ171" s="13">
        <f t="shared" si="14"/>
        <v>1663</v>
      </c>
      <c r="AK171" s="13">
        <f t="shared" si="15"/>
        <v>10904</v>
      </c>
      <c r="AL171" s="13">
        <f t="shared" si="16"/>
        <v>231644</v>
      </c>
      <c r="AM171" s="17"/>
      <c r="AN171" s="18">
        <v>199500</v>
      </c>
      <c r="AO171" s="18">
        <f t="shared" si="17"/>
        <v>0</v>
      </c>
      <c r="AP171" s="18"/>
    </row>
    <row r="172" spans="1:42" ht="15.75" customHeight="1" x14ac:dyDescent="0.3">
      <c r="A172" s="7"/>
      <c r="B172" s="7"/>
      <c r="C172" s="7" t="str">
        <f t="shared" si="0"/>
        <v>VBFV60HG25</v>
      </c>
      <c r="D172" s="7" t="s">
        <v>40</v>
      </c>
      <c r="E172" s="7"/>
      <c r="F172" s="8">
        <v>350</v>
      </c>
      <c r="G172" s="9" t="s">
        <v>68</v>
      </c>
      <c r="H172" s="7" t="str">
        <f>VLOOKUP(G172,'[1]Price Components'!B:C,2,0)</f>
        <v>West Bengal</v>
      </c>
      <c r="I172" s="7" t="str">
        <f>VLOOKUP(G172,'[1]Price Components'!B:D,3,0)</f>
        <v>EX-SHOWROOM</v>
      </c>
      <c r="J172" s="10">
        <f t="shared" si="1"/>
        <v>4.2500472460785754E-2</v>
      </c>
      <c r="K172" s="11">
        <v>147492</v>
      </c>
      <c r="L172" s="12">
        <f t="shared" si="2"/>
        <v>-663.01024610750028</v>
      </c>
      <c r="M172" s="11">
        <v>146828.9897538925</v>
      </c>
      <c r="N172" s="8">
        <v>1279</v>
      </c>
      <c r="O172" s="13">
        <f>VLOOKUP(G172,'[1]Price Components'!B:E,4,0)</f>
        <v>714</v>
      </c>
      <c r="P172" s="13">
        <f t="shared" si="3"/>
        <v>148822</v>
      </c>
      <c r="Q172" s="14">
        <f>ROUND(IF(F172&lt;500,VLOOKUP(G172,'[1]Price Components'!B:G,5,0),VLOOKUP(G172,'[1]Price Components'!B:G,6,0)),2)</f>
        <v>2164.5</v>
      </c>
      <c r="R172" s="11">
        <f t="shared" si="4"/>
        <v>8096</v>
      </c>
      <c r="S172" s="13">
        <v>0</v>
      </c>
      <c r="T172" s="11">
        <f t="shared" si="5"/>
        <v>8096</v>
      </c>
      <c r="U172" s="11">
        <v>292</v>
      </c>
      <c r="V172" s="13">
        <f t="shared" si="6"/>
        <v>8388</v>
      </c>
      <c r="W172" s="13">
        <f t="shared" si="7"/>
        <v>190492</v>
      </c>
      <c r="X172" s="13">
        <f t="shared" si="8"/>
        <v>159374.5</v>
      </c>
      <c r="Y172" s="13">
        <f t="shared" si="9"/>
        <v>44625</v>
      </c>
      <c r="Z172" s="11">
        <v>0</v>
      </c>
      <c r="AA172" s="13">
        <f t="shared" ref="AA172:AA175" si="53">ROUND(X172+Y172+Z172,0)</f>
        <v>204000</v>
      </c>
      <c r="AB172" s="13" t="str">
        <f t="shared" si="44"/>
        <v>C</v>
      </c>
      <c r="AC172" s="15">
        <f>IF(AB172="A",VLOOKUP($G172,'[1]Price Components'!$B:$AC,7,0),IF(AB172="B",VLOOKUP($G172,'[1]Price Components'!$B:$AC,8,0),IF(AB172="C",VLOOKUP($G172,'[1]Price Components'!$B:$AC,9,0),IF(AB172="E",15%,IF(AB172="D",VLOOKUP($G172,'[1]Price Components'!$B:$AC,10,0))))))</f>
        <v>0.1</v>
      </c>
      <c r="AD172" s="13">
        <f>ROUND(IF(AC172=0,VLOOKUP($G172,'[1]Price Components'!$B:$AC,11,0),IF(I172="BASIC",X172*AC172,AA172*AC172)),0)</f>
        <v>20400</v>
      </c>
      <c r="AE172" s="13">
        <f>ROUND(VLOOKUP($G172,'[1]Price Components'!$B:$AC,12,0),0)</f>
        <v>1290</v>
      </c>
      <c r="AF172" s="16">
        <f>VLOOKUP($G172,'[1]Price Components'!$B:$AC,14,0)</f>
        <v>7.92E-3</v>
      </c>
      <c r="AG172" s="16">
        <f>VLOOKUP($G172,'[1]Price Components'!$B:$AC,15,0)</f>
        <v>8.2979999999999998E-3</v>
      </c>
      <c r="AH172" s="13">
        <f t="shared" si="12"/>
        <v>1535</v>
      </c>
      <c r="AI172" s="13">
        <f t="shared" si="13"/>
        <v>7740</v>
      </c>
      <c r="AJ172" s="13">
        <f t="shared" si="14"/>
        <v>1670</v>
      </c>
      <c r="AK172" s="13">
        <f t="shared" si="15"/>
        <v>10945</v>
      </c>
      <c r="AL172" s="13">
        <f t="shared" si="16"/>
        <v>236635</v>
      </c>
      <c r="AM172" s="17"/>
      <c r="AN172" s="18">
        <v>204000</v>
      </c>
      <c r="AO172" s="18">
        <f t="shared" si="17"/>
        <v>0</v>
      </c>
      <c r="AP172" s="18"/>
    </row>
    <row r="173" spans="1:42" ht="15.75" customHeight="1" x14ac:dyDescent="0.3">
      <c r="A173" s="7"/>
      <c r="B173" s="7"/>
      <c r="C173" s="7" t="str">
        <f t="shared" si="0"/>
        <v>VBFV60SE25</v>
      </c>
      <c r="D173" s="7" t="s">
        <v>41</v>
      </c>
      <c r="E173" s="7"/>
      <c r="F173" s="8">
        <v>350</v>
      </c>
      <c r="G173" s="9" t="s">
        <v>68</v>
      </c>
      <c r="H173" s="7" t="str">
        <f>VLOOKUP(G173,'[1]Price Components'!B:C,2,0)</f>
        <v>West Bengal</v>
      </c>
      <c r="I173" s="7" t="str">
        <f>VLOOKUP(G173,'[1]Price Components'!B:D,3,0)</f>
        <v>EX-SHOWROOM</v>
      </c>
      <c r="J173" s="10">
        <f t="shared" si="1"/>
        <v>4.2501969059755389E-2</v>
      </c>
      <c r="K173" s="11">
        <v>156384</v>
      </c>
      <c r="L173" s="12">
        <f t="shared" si="2"/>
        <v>-663.76155376597308</v>
      </c>
      <c r="M173" s="11">
        <v>155720.23844623403</v>
      </c>
      <c r="N173" s="8">
        <v>1279</v>
      </c>
      <c r="O173" s="13">
        <f>VLOOKUP(G173,'[1]Price Components'!B:E,4,0)</f>
        <v>714</v>
      </c>
      <c r="P173" s="13">
        <f t="shared" si="3"/>
        <v>157713</v>
      </c>
      <c r="Q173" s="14">
        <f>ROUND(IF(F173&lt;500,VLOOKUP(G173,'[1]Price Components'!B:G,5,0),VLOOKUP(G173,'[1]Price Components'!B:G,6,0)),2)</f>
        <v>2164.5</v>
      </c>
      <c r="R173" s="11">
        <f t="shared" si="4"/>
        <v>8580</v>
      </c>
      <c r="S173" s="13">
        <v>0</v>
      </c>
      <c r="T173" s="11">
        <f t="shared" si="5"/>
        <v>8580</v>
      </c>
      <c r="U173" s="11">
        <v>292</v>
      </c>
      <c r="V173" s="13">
        <f t="shared" si="6"/>
        <v>8872</v>
      </c>
      <c r="W173" s="13">
        <f t="shared" si="7"/>
        <v>201873</v>
      </c>
      <c r="X173" s="13">
        <f t="shared" si="8"/>
        <v>168749.5</v>
      </c>
      <c r="Y173" s="13">
        <f t="shared" si="9"/>
        <v>47250</v>
      </c>
      <c r="Z173" s="11">
        <v>0</v>
      </c>
      <c r="AA173" s="13">
        <f t="shared" si="53"/>
        <v>216000</v>
      </c>
      <c r="AB173" s="13" t="str">
        <f t="shared" si="44"/>
        <v>C</v>
      </c>
      <c r="AC173" s="15">
        <f>IF(AB173="A",VLOOKUP($G173,'[1]Price Components'!$B:$AC,7,0),IF(AB173="B",VLOOKUP($G173,'[1]Price Components'!$B:$AC,8,0),IF(AB173="C",VLOOKUP($G173,'[1]Price Components'!$B:$AC,9,0),IF(AB173="E",15%,IF(AB173="D",VLOOKUP($G173,'[1]Price Components'!$B:$AC,10,0))))))</f>
        <v>0.1</v>
      </c>
      <c r="AD173" s="13">
        <f>ROUND(IF(AC173=0,VLOOKUP($G173,'[1]Price Components'!$B:$AC,11,0),IF(I173="BASIC",X173*AC173,AA173*AC173)),0)</f>
        <v>21600</v>
      </c>
      <c r="AE173" s="13">
        <f>ROUND(VLOOKUP($G173,'[1]Price Components'!$B:$AC,12,0),0)</f>
        <v>1290</v>
      </c>
      <c r="AF173" s="16">
        <f>VLOOKUP($G173,'[1]Price Components'!$B:$AC,14,0)</f>
        <v>7.92E-3</v>
      </c>
      <c r="AG173" s="16">
        <f>VLOOKUP($G173,'[1]Price Components'!$B:$AC,15,0)</f>
        <v>8.2979999999999998E-3</v>
      </c>
      <c r="AH173" s="13">
        <f t="shared" si="12"/>
        <v>1625</v>
      </c>
      <c r="AI173" s="13">
        <f t="shared" si="13"/>
        <v>7740</v>
      </c>
      <c r="AJ173" s="13">
        <f t="shared" si="14"/>
        <v>1686</v>
      </c>
      <c r="AK173" s="13">
        <f t="shared" si="15"/>
        <v>11051</v>
      </c>
      <c r="AL173" s="13">
        <f t="shared" si="16"/>
        <v>249941</v>
      </c>
      <c r="AM173" s="17"/>
      <c r="AN173" s="18">
        <v>216000</v>
      </c>
      <c r="AO173" s="18">
        <f t="shared" si="17"/>
        <v>0</v>
      </c>
      <c r="AP173" s="18"/>
    </row>
    <row r="174" spans="1:42" ht="15.75" customHeight="1" x14ac:dyDescent="0.3">
      <c r="A174" s="7"/>
      <c r="B174" s="7"/>
      <c r="C174" s="7" t="str">
        <f t="shared" si="0"/>
        <v>VBFV60GM25</v>
      </c>
      <c r="D174" s="7" t="s">
        <v>42</v>
      </c>
      <c r="E174" s="7"/>
      <c r="F174" s="8">
        <v>350</v>
      </c>
      <c r="G174" s="9" t="s">
        <v>68</v>
      </c>
      <c r="H174" s="7" t="str">
        <f>VLOOKUP(G174,'[1]Price Components'!B:C,2,0)</f>
        <v>West Bengal</v>
      </c>
      <c r="I174" s="7" t="str">
        <f>VLOOKUP(G174,'[1]Price Components'!B:D,3,0)</f>
        <v>EX-SHOWROOM</v>
      </c>
      <c r="J174" s="10">
        <f t="shared" si="1"/>
        <v>4.2498182111981905E-2</v>
      </c>
      <c r="K174" s="11">
        <v>163052</v>
      </c>
      <c r="L174" s="12">
        <f t="shared" si="2"/>
        <v>-662.58403636363801</v>
      </c>
      <c r="M174" s="11">
        <v>162389.41596363636</v>
      </c>
      <c r="N174" s="8">
        <v>1279</v>
      </c>
      <c r="O174" s="13">
        <f>VLOOKUP(G174,'[1]Price Components'!B:E,4,0)</f>
        <v>714</v>
      </c>
      <c r="P174" s="13">
        <f t="shared" si="3"/>
        <v>164382</v>
      </c>
      <c r="Q174" s="14">
        <f>ROUND(IF(F174&lt;500,VLOOKUP(G174,'[1]Price Components'!B:G,5,0),VLOOKUP(G174,'[1]Price Components'!B:G,6,0)),2)</f>
        <v>2164.5</v>
      </c>
      <c r="R174" s="11">
        <f t="shared" si="4"/>
        <v>8942</v>
      </c>
      <c r="S174" s="13">
        <v>0</v>
      </c>
      <c r="T174" s="11">
        <f t="shared" si="5"/>
        <v>8942</v>
      </c>
      <c r="U174" s="11">
        <v>292</v>
      </c>
      <c r="V174" s="13">
        <f t="shared" si="6"/>
        <v>9234</v>
      </c>
      <c r="W174" s="13">
        <f t="shared" si="7"/>
        <v>210409</v>
      </c>
      <c r="X174" s="13">
        <f t="shared" si="8"/>
        <v>175780.5</v>
      </c>
      <c r="Y174" s="13">
        <f t="shared" si="9"/>
        <v>49219</v>
      </c>
      <c r="Z174" s="11">
        <v>0</v>
      </c>
      <c r="AA174" s="13">
        <f t="shared" si="53"/>
        <v>225000</v>
      </c>
      <c r="AB174" s="13" t="str">
        <f t="shared" si="44"/>
        <v>C</v>
      </c>
      <c r="AC174" s="15">
        <f>IF(AB174="A",VLOOKUP($G174,'[1]Price Components'!$B:$AC,7,0),IF(AB174="B",VLOOKUP($G174,'[1]Price Components'!$B:$AC,8,0),IF(AB174="C",VLOOKUP($G174,'[1]Price Components'!$B:$AC,9,0),IF(AB174="E",15%,IF(AB174="D",VLOOKUP($G174,'[1]Price Components'!$B:$AC,10,0))))))</f>
        <v>0.1</v>
      </c>
      <c r="AD174" s="13">
        <f>ROUND(IF(AC174=0,VLOOKUP($G174,'[1]Price Components'!$B:$AC,11,0),IF(I174="BASIC",X174*AC174,AA174*AC174)),0)</f>
        <v>22500</v>
      </c>
      <c r="AE174" s="13">
        <f>ROUND(VLOOKUP($G174,'[1]Price Components'!$B:$AC,12,0),0)</f>
        <v>1290</v>
      </c>
      <c r="AF174" s="16">
        <f>VLOOKUP($G174,'[1]Price Components'!$B:$AC,14,0)</f>
        <v>7.92E-3</v>
      </c>
      <c r="AG174" s="16">
        <f>VLOOKUP($G174,'[1]Price Components'!$B:$AC,15,0)</f>
        <v>8.2979999999999998E-3</v>
      </c>
      <c r="AH174" s="13">
        <f t="shared" si="12"/>
        <v>1693</v>
      </c>
      <c r="AI174" s="13">
        <f t="shared" si="13"/>
        <v>7740</v>
      </c>
      <c r="AJ174" s="13">
        <f t="shared" si="14"/>
        <v>1698</v>
      </c>
      <c r="AK174" s="13">
        <f t="shared" si="15"/>
        <v>11131</v>
      </c>
      <c r="AL174" s="13">
        <f t="shared" si="16"/>
        <v>259921</v>
      </c>
      <c r="AM174" s="17"/>
      <c r="AN174" s="18">
        <v>225000</v>
      </c>
      <c r="AO174" s="18">
        <f t="shared" si="17"/>
        <v>0</v>
      </c>
      <c r="AP174" s="18"/>
    </row>
    <row r="175" spans="1:42" ht="15.75" customHeight="1" x14ac:dyDescent="0.3">
      <c r="A175" s="7"/>
      <c r="B175" s="7"/>
      <c r="C175" s="7" t="str">
        <f t="shared" si="0"/>
        <v>VBFV60SB25</v>
      </c>
      <c r="D175" s="7" t="s">
        <v>43</v>
      </c>
      <c r="E175" s="7"/>
      <c r="F175" s="8">
        <v>350</v>
      </c>
      <c r="G175" s="9" t="s">
        <v>68</v>
      </c>
      <c r="H175" s="7" t="str">
        <f>VLOOKUP(G175,'[1]Price Components'!B:C,2,0)</f>
        <v>West Bengal</v>
      </c>
      <c r="I175" s="7" t="str">
        <f>VLOOKUP(G175,'[1]Price Components'!B:D,3,0)</f>
        <v>EX-SHOWROOM</v>
      </c>
      <c r="J175" s="10">
        <f t="shared" si="1"/>
        <v>4.2498182111981905E-2</v>
      </c>
      <c r="K175" s="11">
        <v>163052</v>
      </c>
      <c r="L175" s="12">
        <f t="shared" si="2"/>
        <v>-662.58403636363801</v>
      </c>
      <c r="M175" s="11">
        <v>162389.41596363636</v>
      </c>
      <c r="N175" s="8">
        <v>1279</v>
      </c>
      <c r="O175" s="13">
        <f>VLOOKUP(G175,'[1]Price Components'!B:E,4,0)</f>
        <v>714</v>
      </c>
      <c r="P175" s="13">
        <f t="shared" si="3"/>
        <v>164382</v>
      </c>
      <c r="Q175" s="14">
        <f>ROUND(IF(F175&lt;500,VLOOKUP(G175,'[1]Price Components'!B:G,5,0),VLOOKUP(G175,'[1]Price Components'!B:G,6,0)),2)</f>
        <v>2164.5</v>
      </c>
      <c r="R175" s="11">
        <f t="shared" si="4"/>
        <v>8942</v>
      </c>
      <c r="S175" s="13">
        <v>0</v>
      </c>
      <c r="T175" s="11">
        <f t="shared" si="5"/>
        <v>8942</v>
      </c>
      <c r="U175" s="11">
        <v>292</v>
      </c>
      <c r="V175" s="13">
        <f t="shared" si="6"/>
        <v>9234</v>
      </c>
      <c r="W175" s="13">
        <f t="shared" si="7"/>
        <v>210409</v>
      </c>
      <c r="X175" s="13">
        <f t="shared" si="8"/>
        <v>175780.5</v>
      </c>
      <c r="Y175" s="13">
        <f t="shared" si="9"/>
        <v>49219</v>
      </c>
      <c r="Z175" s="11">
        <v>0</v>
      </c>
      <c r="AA175" s="13">
        <f t="shared" si="53"/>
        <v>225000</v>
      </c>
      <c r="AB175" s="13" t="str">
        <f t="shared" si="44"/>
        <v>C</v>
      </c>
      <c r="AC175" s="15">
        <f>IF(AB175="A",VLOOKUP($G175,'[1]Price Components'!$B:$AC,7,0),IF(AB175="B",VLOOKUP($G175,'[1]Price Components'!$B:$AC,8,0),IF(AB175="C",VLOOKUP($G175,'[1]Price Components'!$B:$AC,9,0),IF(AB175="E",15%,IF(AB175="D",VLOOKUP($G175,'[1]Price Components'!$B:$AC,10,0))))))</f>
        <v>0.1</v>
      </c>
      <c r="AD175" s="13">
        <f>ROUND(IF(AC175=0,VLOOKUP($G175,'[1]Price Components'!$B:$AC,11,0),IF(I175="BASIC",X175*AC175,AA175*AC175)),0)</f>
        <v>22500</v>
      </c>
      <c r="AE175" s="13">
        <f>ROUND(VLOOKUP($G175,'[1]Price Components'!$B:$AC,12,0),0)</f>
        <v>1290</v>
      </c>
      <c r="AF175" s="16">
        <f>VLOOKUP($G175,'[1]Price Components'!$B:$AC,14,0)</f>
        <v>7.92E-3</v>
      </c>
      <c r="AG175" s="16">
        <f>VLOOKUP($G175,'[1]Price Components'!$B:$AC,15,0)</f>
        <v>8.2979999999999998E-3</v>
      </c>
      <c r="AH175" s="13">
        <f t="shared" si="12"/>
        <v>1693</v>
      </c>
      <c r="AI175" s="13">
        <f t="shared" si="13"/>
        <v>7740</v>
      </c>
      <c r="AJ175" s="13">
        <f t="shared" si="14"/>
        <v>1698</v>
      </c>
      <c r="AK175" s="13">
        <f t="shared" si="15"/>
        <v>11131</v>
      </c>
      <c r="AL175" s="13">
        <f t="shared" si="16"/>
        <v>259921</v>
      </c>
      <c r="AM175" s="17"/>
      <c r="AN175" s="18">
        <v>225000</v>
      </c>
      <c r="AO175" s="18">
        <f t="shared" si="17"/>
        <v>0</v>
      </c>
      <c r="AP175" s="18"/>
    </row>
    <row r="176" spans="1:42" ht="15.75" customHeight="1" x14ac:dyDescent="0.3">
      <c r="A176" s="7"/>
      <c r="B176" s="7"/>
      <c r="C176" s="7" t="str">
        <f t="shared" si="0"/>
        <v>VBFV60DN25</v>
      </c>
      <c r="D176" s="7" t="s">
        <v>44</v>
      </c>
      <c r="E176" s="7"/>
      <c r="F176" s="8">
        <v>350</v>
      </c>
      <c r="G176" s="9" t="s">
        <v>68</v>
      </c>
      <c r="H176" s="7" t="str">
        <f>VLOOKUP(G176,'[1]Price Components'!B:C,2,0)</f>
        <v>West Bengal</v>
      </c>
      <c r="I176" s="7" t="str">
        <f>VLOOKUP(G176,'[1]Price Components'!B:D,3,0)</f>
        <v>EX-SHOWROOM</v>
      </c>
      <c r="J176" s="10">
        <f t="shared" si="1"/>
        <v>4.2500580990006975E-2</v>
      </c>
      <c r="K176" s="11">
        <v>166757</v>
      </c>
      <c r="L176" s="12">
        <f t="shared" si="2"/>
        <v>-663.76789392915089</v>
      </c>
      <c r="M176" s="11">
        <v>166093.23210607085</v>
      </c>
      <c r="N176" s="8">
        <v>1279</v>
      </c>
      <c r="O176" s="13">
        <f>VLOOKUP(G176,'[1]Price Components'!B:E,4,0)</f>
        <v>714</v>
      </c>
      <c r="P176" s="13">
        <f t="shared" si="3"/>
        <v>168086</v>
      </c>
      <c r="Q176" s="14">
        <f>ROUND(IF(F176&lt;500,VLOOKUP(G176,'[1]Price Components'!B:G,5,0),VLOOKUP(G176,'[1]Price Components'!B:G,6,0)),2)</f>
        <v>2164.5</v>
      </c>
      <c r="R176" s="11">
        <f t="shared" si="4"/>
        <v>9144</v>
      </c>
      <c r="S176" s="13">
        <v>0</v>
      </c>
      <c r="T176" s="11">
        <f t="shared" si="5"/>
        <v>9144</v>
      </c>
      <c r="U176" s="11">
        <v>292</v>
      </c>
      <c r="V176" s="13">
        <f t="shared" si="6"/>
        <v>9436</v>
      </c>
      <c r="W176" s="13">
        <f t="shared" si="7"/>
        <v>215150</v>
      </c>
      <c r="X176" s="13">
        <f t="shared" si="8"/>
        <v>179686.5</v>
      </c>
      <c r="Y176" s="13">
        <f t="shared" si="9"/>
        <v>50312</v>
      </c>
      <c r="Z176" s="11">
        <v>0</v>
      </c>
      <c r="AA176" s="13">
        <f>ROUND(X176+Y176+Z176,0)+1</f>
        <v>230000</v>
      </c>
      <c r="AB176" s="13" t="str">
        <f t="shared" si="44"/>
        <v>C</v>
      </c>
      <c r="AC176" s="15">
        <f>IF(AB176="A",VLOOKUP($G176,'[1]Price Components'!$B:$AC,7,0),IF(AB176="B",VLOOKUP($G176,'[1]Price Components'!$B:$AC,8,0),IF(AB176="C",VLOOKUP($G176,'[1]Price Components'!$B:$AC,9,0),IF(AB176="E",15%,IF(AB176="D",VLOOKUP($G176,'[1]Price Components'!$B:$AC,10,0))))))</f>
        <v>0.1</v>
      </c>
      <c r="AD176" s="13">
        <f>ROUND(IF(AC176=0,VLOOKUP($G176,'[1]Price Components'!$B:$AC,11,0),IF(I176="BASIC",X176*AC176,AA176*AC176)),0)</f>
        <v>23000</v>
      </c>
      <c r="AE176" s="13">
        <f>ROUND(VLOOKUP($G176,'[1]Price Components'!$B:$AC,12,0),0)</f>
        <v>1290</v>
      </c>
      <c r="AF176" s="16">
        <f>VLOOKUP($G176,'[1]Price Components'!$B:$AC,14,0)</f>
        <v>7.92E-3</v>
      </c>
      <c r="AG176" s="16">
        <f>VLOOKUP($G176,'[1]Price Components'!$B:$AC,15,0)</f>
        <v>8.2979999999999998E-3</v>
      </c>
      <c r="AH176" s="13">
        <f t="shared" si="12"/>
        <v>1731</v>
      </c>
      <c r="AI176" s="13">
        <f t="shared" si="13"/>
        <v>7740</v>
      </c>
      <c r="AJ176" s="13">
        <f t="shared" si="14"/>
        <v>1705</v>
      </c>
      <c r="AK176" s="13">
        <f t="shared" si="15"/>
        <v>11176</v>
      </c>
      <c r="AL176" s="13">
        <f t="shared" si="16"/>
        <v>265466</v>
      </c>
      <c r="AM176" s="17"/>
      <c r="AN176" s="18">
        <v>230000</v>
      </c>
      <c r="AO176" s="18">
        <f t="shared" si="17"/>
        <v>0</v>
      </c>
      <c r="AP176" s="18"/>
    </row>
    <row r="177" spans="1:42" ht="15.75" customHeight="1" x14ac:dyDescent="0.3">
      <c r="A177" s="7"/>
      <c r="B177" s="7"/>
      <c r="C177" s="7" t="str">
        <f t="shared" si="0"/>
        <v>VBFV60RR26</v>
      </c>
      <c r="D177" s="7" t="s">
        <v>37</v>
      </c>
      <c r="E177" s="7"/>
      <c r="F177" s="8">
        <v>350</v>
      </c>
      <c r="G177" s="9" t="s">
        <v>69</v>
      </c>
      <c r="H177" s="7" t="str">
        <f>VLOOKUP(G177,'[1]Price Components'!B:C,2,0)</f>
        <v>Andaman and Nicobar</v>
      </c>
      <c r="I177" s="7" t="str">
        <f>VLOOKUP(G177,'[1]Price Components'!B:D,3,0)</f>
        <v>EX-SHOWROOM</v>
      </c>
      <c r="J177" s="10">
        <f t="shared" si="1"/>
        <v>4.2501117330325411E-2</v>
      </c>
      <c r="K177" s="11">
        <v>144158</v>
      </c>
      <c r="L177" s="12">
        <f t="shared" si="2"/>
        <v>596.77016629971331</v>
      </c>
      <c r="M177" s="11">
        <v>144754.77016629971</v>
      </c>
      <c r="N177" s="8">
        <v>1279</v>
      </c>
      <c r="O177" s="13">
        <f>VLOOKUP(G177,'[1]Price Components'!B:E,4,0)</f>
        <v>800</v>
      </c>
      <c r="P177" s="13">
        <f t="shared" si="3"/>
        <v>146834</v>
      </c>
      <c r="Q177" s="14">
        <f>ROUND(IF(F177&lt;500,VLOOKUP(G177,'[1]Price Components'!B:G,5,0),VLOOKUP(G177,'[1]Price Components'!B:G,6,0)),2)</f>
        <v>745</v>
      </c>
      <c r="R177" s="11">
        <f t="shared" si="4"/>
        <v>7988</v>
      </c>
      <c r="S177" s="13">
        <v>0</v>
      </c>
      <c r="T177" s="11">
        <f t="shared" si="5"/>
        <v>7988</v>
      </c>
      <c r="U177" s="11">
        <v>292</v>
      </c>
      <c r="V177" s="13">
        <f t="shared" si="6"/>
        <v>8280</v>
      </c>
      <c r="W177" s="13">
        <f t="shared" si="7"/>
        <v>187948</v>
      </c>
      <c r="X177" s="13">
        <f t="shared" si="8"/>
        <v>155859</v>
      </c>
      <c r="Y177" s="13">
        <f t="shared" si="9"/>
        <v>43641</v>
      </c>
      <c r="Z177" s="11">
        <v>0</v>
      </c>
      <c r="AA177" s="13">
        <f t="shared" ref="AA177:AA182" si="54">ROUND(X177+Y177+Z177,0)</f>
        <v>199500</v>
      </c>
      <c r="AB177" s="13" t="str">
        <f t="shared" si="44"/>
        <v>B</v>
      </c>
      <c r="AC177" s="15">
        <f>IF(AB177="A",VLOOKUP($G177,'[1]Price Components'!$B:$AC,7,0),IF(AB177="B",VLOOKUP($G177,'[1]Price Components'!$B:$AC,8,0),IF(AB177="C",VLOOKUP($G177,'[1]Price Components'!$B:$AC,9,0),IF(AB177="E",15%,IF(AB177="D",VLOOKUP($G177,'[1]Price Components'!$B:$AC,10,0))))))</f>
        <v>0</v>
      </c>
      <c r="AD177" s="13">
        <f>ROUND(IF(AC177=0,VLOOKUP($G177,'[1]Price Components'!$B:$AC,11,0),IF(I177="BASIC",X177*AC177,AA177*AC177)),0)</f>
        <v>1125</v>
      </c>
      <c r="AE177" s="13">
        <f>ROUND(VLOOKUP($G177,'[1]Price Components'!$B:$AC,12,0),0)</f>
        <v>0</v>
      </c>
      <c r="AF177" s="16">
        <f>VLOOKUP($G177,'[1]Price Components'!$B:$AC,14,0)</f>
        <v>7.92E-3</v>
      </c>
      <c r="AG177" s="16">
        <f>VLOOKUP($G177,'[1]Price Components'!$B:$AC,15,0)</f>
        <v>8.2979999999999998E-3</v>
      </c>
      <c r="AH177" s="13">
        <f t="shared" si="12"/>
        <v>1501</v>
      </c>
      <c r="AI177" s="13">
        <f t="shared" si="13"/>
        <v>7740</v>
      </c>
      <c r="AJ177" s="13">
        <f t="shared" si="14"/>
        <v>1663</v>
      </c>
      <c r="AK177" s="13">
        <f t="shared" si="15"/>
        <v>10904</v>
      </c>
      <c r="AL177" s="13">
        <f t="shared" si="16"/>
        <v>211529</v>
      </c>
      <c r="AM177" s="17"/>
      <c r="AN177" s="18">
        <v>199500</v>
      </c>
      <c r="AO177" s="18">
        <f t="shared" si="17"/>
        <v>0</v>
      </c>
      <c r="AP177" s="18"/>
    </row>
    <row r="178" spans="1:42" ht="15.75" customHeight="1" x14ac:dyDescent="0.3">
      <c r="A178" s="7"/>
      <c r="B178" s="7"/>
      <c r="C178" s="7" t="str">
        <f t="shared" si="0"/>
        <v>VBFV60EB26</v>
      </c>
      <c r="D178" s="7" t="s">
        <v>39</v>
      </c>
      <c r="E178" s="7"/>
      <c r="F178" s="8">
        <v>350</v>
      </c>
      <c r="G178" s="9" t="s">
        <v>69</v>
      </c>
      <c r="H178" s="7" t="str">
        <f>VLOOKUP(G178,'[1]Price Components'!B:C,2,0)</f>
        <v>Andaman and Nicobar</v>
      </c>
      <c r="I178" s="7" t="str">
        <f>VLOOKUP(G178,'[1]Price Components'!B:D,3,0)</f>
        <v>EX-SHOWROOM</v>
      </c>
      <c r="J178" s="10">
        <f t="shared" si="1"/>
        <v>4.2501117330325411E-2</v>
      </c>
      <c r="K178" s="11">
        <v>144158</v>
      </c>
      <c r="L178" s="12">
        <f t="shared" si="2"/>
        <v>596.77016629971331</v>
      </c>
      <c r="M178" s="11">
        <v>144754.77016629971</v>
      </c>
      <c r="N178" s="8">
        <v>1279</v>
      </c>
      <c r="O178" s="13">
        <f>VLOOKUP(G178,'[1]Price Components'!B:E,4,0)</f>
        <v>800</v>
      </c>
      <c r="P178" s="13">
        <f t="shared" si="3"/>
        <v>146834</v>
      </c>
      <c r="Q178" s="14">
        <f>ROUND(IF(F178&lt;500,VLOOKUP(G178,'[1]Price Components'!B:G,5,0),VLOOKUP(G178,'[1]Price Components'!B:G,6,0)),2)</f>
        <v>745</v>
      </c>
      <c r="R178" s="11">
        <f t="shared" si="4"/>
        <v>7988</v>
      </c>
      <c r="S178" s="13">
        <v>0</v>
      </c>
      <c r="T178" s="11">
        <f t="shared" si="5"/>
        <v>7988</v>
      </c>
      <c r="U178" s="11">
        <v>292</v>
      </c>
      <c r="V178" s="13">
        <f t="shared" si="6"/>
        <v>8280</v>
      </c>
      <c r="W178" s="13">
        <f t="shared" si="7"/>
        <v>187948</v>
      </c>
      <c r="X178" s="13">
        <f t="shared" si="8"/>
        <v>155859</v>
      </c>
      <c r="Y178" s="13">
        <f t="shared" si="9"/>
        <v>43641</v>
      </c>
      <c r="Z178" s="11">
        <v>0</v>
      </c>
      <c r="AA178" s="13">
        <f t="shared" si="54"/>
        <v>199500</v>
      </c>
      <c r="AB178" s="13" t="str">
        <f t="shared" si="44"/>
        <v>B</v>
      </c>
      <c r="AC178" s="15">
        <f>IF(AB178="A",VLOOKUP($G178,'[1]Price Components'!$B:$AC,7,0),IF(AB178="B",VLOOKUP($G178,'[1]Price Components'!$B:$AC,8,0),IF(AB178="C",VLOOKUP($G178,'[1]Price Components'!$B:$AC,9,0),IF(AB178="E",15%,IF(AB178="D",VLOOKUP($G178,'[1]Price Components'!$B:$AC,10,0))))))</f>
        <v>0</v>
      </c>
      <c r="AD178" s="13">
        <f>ROUND(IF(AC178=0,VLOOKUP($G178,'[1]Price Components'!$B:$AC,11,0),IF(I178="BASIC",X178*AC178,AA178*AC178)),0)</f>
        <v>1125</v>
      </c>
      <c r="AE178" s="13">
        <f>ROUND(VLOOKUP($G178,'[1]Price Components'!$B:$AC,12,0),0)</f>
        <v>0</v>
      </c>
      <c r="AF178" s="16">
        <f>VLOOKUP($G178,'[1]Price Components'!$B:$AC,14,0)</f>
        <v>7.92E-3</v>
      </c>
      <c r="AG178" s="16">
        <f>VLOOKUP($G178,'[1]Price Components'!$B:$AC,15,0)</f>
        <v>8.2979999999999998E-3</v>
      </c>
      <c r="AH178" s="13">
        <f t="shared" si="12"/>
        <v>1501</v>
      </c>
      <c r="AI178" s="13">
        <f t="shared" si="13"/>
        <v>7740</v>
      </c>
      <c r="AJ178" s="13">
        <f t="shared" si="14"/>
        <v>1663</v>
      </c>
      <c r="AK178" s="13">
        <f t="shared" si="15"/>
        <v>10904</v>
      </c>
      <c r="AL178" s="13">
        <f t="shared" si="16"/>
        <v>211529</v>
      </c>
      <c r="AM178" s="17"/>
      <c r="AN178" s="18">
        <v>199500</v>
      </c>
      <c r="AO178" s="18">
        <f t="shared" si="17"/>
        <v>0</v>
      </c>
      <c r="AP178" s="18"/>
    </row>
    <row r="179" spans="1:42" ht="15.75" customHeight="1" x14ac:dyDescent="0.3">
      <c r="A179" s="7"/>
      <c r="B179" s="7"/>
      <c r="C179" s="7" t="str">
        <f t="shared" si="0"/>
        <v>VBFV60HG26</v>
      </c>
      <c r="D179" s="7" t="s">
        <v>40</v>
      </c>
      <c r="E179" s="7"/>
      <c r="F179" s="8">
        <v>350</v>
      </c>
      <c r="G179" s="9" t="s">
        <v>69</v>
      </c>
      <c r="H179" s="7" t="str">
        <f>VLOOKUP(G179,'[1]Price Components'!B:C,2,0)</f>
        <v>Andaman and Nicobar</v>
      </c>
      <c r="I179" s="7" t="str">
        <f>VLOOKUP(G179,'[1]Price Components'!B:D,3,0)</f>
        <v>EX-SHOWROOM</v>
      </c>
      <c r="J179" s="10">
        <f t="shared" si="1"/>
        <v>4.249906355350231E-2</v>
      </c>
      <c r="K179" s="11">
        <v>147492</v>
      </c>
      <c r="L179" s="12">
        <f t="shared" si="2"/>
        <v>598.12019866422634</v>
      </c>
      <c r="M179" s="11">
        <v>148090.12019866423</v>
      </c>
      <c r="N179" s="8">
        <v>1279</v>
      </c>
      <c r="O179" s="13">
        <f>VLOOKUP(G179,'[1]Price Components'!B:E,4,0)</f>
        <v>800</v>
      </c>
      <c r="P179" s="13">
        <f t="shared" si="3"/>
        <v>150169</v>
      </c>
      <c r="Q179" s="14">
        <f>ROUND(IF(F179&lt;500,VLOOKUP(G179,'[1]Price Components'!B:G,5,0),VLOOKUP(G179,'[1]Price Components'!B:G,6,0)),2)</f>
        <v>745</v>
      </c>
      <c r="R179" s="11">
        <f t="shared" si="4"/>
        <v>8169</v>
      </c>
      <c r="S179" s="13">
        <v>0</v>
      </c>
      <c r="T179" s="11">
        <f t="shared" si="5"/>
        <v>8169</v>
      </c>
      <c r="U179" s="11">
        <v>292</v>
      </c>
      <c r="V179" s="13">
        <f t="shared" si="6"/>
        <v>8461</v>
      </c>
      <c r="W179" s="13">
        <f t="shared" si="7"/>
        <v>192216</v>
      </c>
      <c r="X179" s="13">
        <f t="shared" si="8"/>
        <v>159375</v>
      </c>
      <c r="Y179" s="13">
        <f t="shared" si="9"/>
        <v>44625</v>
      </c>
      <c r="Z179" s="11">
        <v>0</v>
      </c>
      <c r="AA179" s="13">
        <f t="shared" si="54"/>
        <v>204000</v>
      </c>
      <c r="AB179" s="13" t="str">
        <f t="shared" si="44"/>
        <v>C</v>
      </c>
      <c r="AC179" s="15">
        <f>IF(AB179="A",VLOOKUP($G179,'[1]Price Components'!$B:$AC,7,0),IF(AB179="B",VLOOKUP($G179,'[1]Price Components'!$B:$AC,8,0),IF(AB179="C",VLOOKUP($G179,'[1]Price Components'!$B:$AC,9,0),IF(AB179="E",15%,IF(AB179="D",VLOOKUP($G179,'[1]Price Components'!$B:$AC,10,0))))))</f>
        <v>0</v>
      </c>
      <c r="AD179" s="13">
        <f>ROUND(IF(AC179=0,VLOOKUP($G179,'[1]Price Components'!$B:$AC,11,0),IF(I179="BASIC",X179*AC179,AA179*AC179)),0)</f>
        <v>1125</v>
      </c>
      <c r="AE179" s="13">
        <f>ROUND(VLOOKUP($G179,'[1]Price Components'!$B:$AC,12,0),0)</f>
        <v>0</v>
      </c>
      <c r="AF179" s="16">
        <f>VLOOKUP($G179,'[1]Price Components'!$B:$AC,14,0)</f>
        <v>7.92E-3</v>
      </c>
      <c r="AG179" s="16">
        <f>VLOOKUP($G179,'[1]Price Components'!$B:$AC,15,0)</f>
        <v>8.2979999999999998E-3</v>
      </c>
      <c r="AH179" s="13">
        <f t="shared" si="12"/>
        <v>1535</v>
      </c>
      <c r="AI179" s="13">
        <f t="shared" si="13"/>
        <v>7740</v>
      </c>
      <c r="AJ179" s="13">
        <f t="shared" si="14"/>
        <v>1670</v>
      </c>
      <c r="AK179" s="13">
        <f t="shared" si="15"/>
        <v>10945</v>
      </c>
      <c r="AL179" s="13">
        <f t="shared" si="16"/>
        <v>216070</v>
      </c>
      <c r="AM179" s="17"/>
      <c r="AN179" s="18">
        <v>204000</v>
      </c>
      <c r="AO179" s="18">
        <f t="shared" si="17"/>
        <v>0</v>
      </c>
      <c r="AP179" s="18"/>
    </row>
    <row r="180" spans="1:42" ht="15.75" customHeight="1" x14ac:dyDescent="0.3">
      <c r="A180" s="7"/>
      <c r="B180" s="7"/>
      <c r="C180" s="7" t="str">
        <f t="shared" si="0"/>
        <v>VBFV60SE26</v>
      </c>
      <c r="D180" s="7" t="s">
        <v>41</v>
      </c>
      <c r="E180" s="7"/>
      <c r="F180" s="8">
        <v>350</v>
      </c>
      <c r="G180" s="9" t="s">
        <v>69</v>
      </c>
      <c r="H180" s="7" t="str">
        <f>VLOOKUP(G180,'[1]Price Components'!B:C,2,0)</f>
        <v>Andaman and Nicobar</v>
      </c>
      <c r="I180" s="7" t="str">
        <f>VLOOKUP(G180,'[1]Price Components'!B:D,3,0)</f>
        <v>EX-SHOWROOM</v>
      </c>
      <c r="J180" s="10">
        <f t="shared" si="1"/>
        <v>4.2500626237125298E-2</v>
      </c>
      <c r="K180" s="11">
        <v>156384</v>
      </c>
      <c r="L180" s="12">
        <f t="shared" si="2"/>
        <v>597.37205687203095</v>
      </c>
      <c r="M180" s="11">
        <v>156981.37205687203</v>
      </c>
      <c r="N180" s="8">
        <v>1279</v>
      </c>
      <c r="O180" s="13">
        <f>VLOOKUP(G180,'[1]Price Components'!B:E,4,0)</f>
        <v>800</v>
      </c>
      <c r="P180" s="13">
        <f t="shared" si="3"/>
        <v>159060</v>
      </c>
      <c r="Q180" s="14">
        <f>ROUND(IF(F180&lt;500,VLOOKUP(G180,'[1]Price Components'!B:G,5,0),VLOOKUP(G180,'[1]Price Components'!B:G,6,0)),2)</f>
        <v>745</v>
      </c>
      <c r="R180" s="11">
        <f t="shared" si="4"/>
        <v>8653</v>
      </c>
      <c r="S180" s="13">
        <v>0</v>
      </c>
      <c r="T180" s="11">
        <f t="shared" si="5"/>
        <v>8653</v>
      </c>
      <c r="U180" s="11">
        <v>292</v>
      </c>
      <c r="V180" s="13">
        <f t="shared" si="6"/>
        <v>8945</v>
      </c>
      <c r="W180" s="13">
        <f t="shared" si="7"/>
        <v>203597</v>
      </c>
      <c r="X180" s="13">
        <f t="shared" si="8"/>
        <v>168750</v>
      </c>
      <c r="Y180" s="13">
        <f t="shared" si="9"/>
        <v>47250</v>
      </c>
      <c r="Z180" s="11">
        <v>0</v>
      </c>
      <c r="AA180" s="13">
        <f t="shared" si="54"/>
        <v>216000</v>
      </c>
      <c r="AB180" s="13" t="str">
        <f t="shared" si="44"/>
        <v>C</v>
      </c>
      <c r="AC180" s="15">
        <f>IF(AB180="A",VLOOKUP($G180,'[1]Price Components'!$B:$AC,7,0),IF(AB180="B",VLOOKUP($G180,'[1]Price Components'!$B:$AC,8,0),IF(AB180="C",VLOOKUP($G180,'[1]Price Components'!$B:$AC,9,0),IF(AB180="E",15%,IF(AB180="D",VLOOKUP($G180,'[1]Price Components'!$B:$AC,10,0))))))</f>
        <v>0</v>
      </c>
      <c r="AD180" s="13">
        <f>ROUND(IF(AC180=0,VLOOKUP($G180,'[1]Price Components'!$B:$AC,11,0),IF(I180="BASIC",X180*AC180,AA180*AC180)),0)</f>
        <v>1125</v>
      </c>
      <c r="AE180" s="13">
        <f>ROUND(VLOOKUP($G180,'[1]Price Components'!$B:$AC,12,0),0)</f>
        <v>0</v>
      </c>
      <c r="AF180" s="16">
        <f>VLOOKUP($G180,'[1]Price Components'!$B:$AC,14,0)</f>
        <v>7.92E-3</v>
      </c>
      <c r="AG180" s="16">
        <f>VLOOKUP($G180,'[1]Price Components'!$B:$AC,15,0)</f>
        <v>8.2979999999999998E-3</v>
      </c>
      <c r="AH180" s="13">
        <f t="shared" si="12"/>
        <v>1625</v>
      </c>
      <c r="AI180" s="13">
        <f t="shared" si="13"/>
        <v>7740</v>
      </c>
      <c r="AJ180" s="13">
        <f t="shared" si="14"/>
        <v>1686</v>
      </c>
      <c r="AK180" s="13">
        <f t="shared" si="15"/>
        <v>11051</v>
      </c>
      <c r="AL180" s="13">
        <f t="shared" si="16"/>
        <v>228176</v>
      </c>
      <c r="AM180" s="17"/>
      <c r="AN180" s="18">
        <v>216000</v>
      </c>
      <c r="AO180" s="18">
        <f t="shared" si="17"/>
        <v>0</v>
      </c>
      <c r="AP180" s="18"/>
    </row>
    <row r="181" spans="1:42" ht="15.75" customHeight="1" x14ac:dyDescent="0.3">
      <c r="A181" s="7"/>
      <c r="B181" s="7"/>
      <c r="C181" s="7" t="str">
        <f t="shared" si="0"/>
        <v>VBFV60GM26</v>
      </c>
      <c r="D181" s="7" t="s">
        <v>42</v>
      </c>
      <c r="E181" s="7"/>
      <c r="F181" s="8">
        <v>350</v>
      </c>
      <c r="G181" s="9" t="s">
        <v>69</v>
      </c>
      <c r="H181" s="7" t="str">
        <f>VLOOKUP(G181,'[1]Price Components'!B:C,2,0)</f>
        <v>Andaman and Nicobar</v>
      </c>
      <c r="I181" s="7" t="str">
        <f>VLOOKUP(G181,'[1]Price Components'!B:D,3,0)</f>
        <v>EX-SHOWROOM</v>
      </c>
      <c r="J181" s="10">
        <f t="shared" si="1"/>
        <v>4.2501838477928836E-2</v>
      </c>
      <c r="K181" s="11">
        <v>163052</v>
      </c>
      <c r="L181" s="12">
        <f t="shared" si="2"/>
        <v>596.8201409309404</v>
      </c>
      <c r="M181" s="11">
        <v>163648.82014093094</v>
      </c>
      <c r="N181" s="8">
        <v>1279</v>
      </c>
      <c r="O181" s="13">
        <f>VLOOKUP(G181,'[1]Price Components'!B:E,4,0)</f>
        <v>800</v>
      </c>
      <c r="P181" s="13">
        <f t="shared" si="3"/>
        <v>165728</v>
      </c>
      <c r="Q181" s="14">
        <f>ROUND(IF(F181&lt;500,VLOOKUP(G181,'[1]Price Components'!B:G,5,0),VLOOKUP(G181,'[1]Price Components'!B:G,6,0)),2)</f>
        <v>745</v>
      </c>
      <c r="R181" s="11">
        <f t="shared" si="4"/>
        <v>9016</v>
      </c>
      <c r="S181" s="13">
        <v>0</v>
      </c>
      <c r="T181" s="11">
        <f t="shared" si="5"/>
        <v>9016</v>
      </c>
      <c r="U181" s="11">
        <v>292</v>
      </c>
      <c r="V181" s="13">
        <f t="shared" si="6"/>
        <v>9308</v>
      </c>
      <c r="W181" s="13">
        <f t="shared" si="7"/>
        <v>212132</v>
      </c>
      <c r="X181" s="13">
        <f t="shared" si="8"/>
        <v>175781</v>
      </c>
      <c r="Y181" s="13">
        <f t="shared" si="9"/>
        <v>49219</v>
      </c>
      <c r="Z181" s="11">
        <v>0</v>
      </c>
      <c r="AA181" s="13">
        <f t="shared" si="54"/>
        <v>225000</v>
      </c>
      <c r="AB181" s="13" t="str">
        <f t="shared" si="44"/>
        <v>C</v>
      </c>
      <c r="AC181" s="15">
        <f>IF(AB181="A",VLOOKUP($G181,'[1]Price Components'!$B:$AC,7,0),IF(AB181="B",VLOOKUP($G181,'[1]Price Components'!$B:$AC,8,0),IF(AB181="C",VLOOKUP($G181,'[1]Price Components'!$B:$AC,9,0),IF(AB181="E",15%,IF(AB181="D",VLOOKUP($G181,'[1]Price Components'!$B:$AC,10,0))))))</f>
        <v>0</v>
      </c>
      <c r="AD181" s="13">
        <f>ROUND(IF(AC181=0,VLOOKUP($G181,'[1]Price Components'!$B:$AC,11,0),IF(I181="BASIC",X181*AC181,AA181*AC181)),0)</f>
        <v>1125</v>
      </c>
      <c r="AE181" s="13">
        <f>ROUND(VLOOKUP($G181,'[1]Price Components'!$B:$AC,12,0),0)</f>
        <v>0</v>
      </c>
      <c r="AF181" s="16">
        <f>VLOOKUP($G181,'[1]Price Components'!$B:$AC,14,0)</f>
        <v>7.92E-3</v>
      </c>
      <c r="AG181" s="16">
        <f>VLOOKUP($G181,'[1]Price Components'!$B:$AC,15,0)</f>
        <v>8.2979999999999998E-3</v>
      </c>
      <c r="AH181" s="13">
        <f t="shared" si="12"/>
        <v>1693</v>
      </c>
      <c r="AI181" s="13">
        <f t="shared" si="13"/>
        <v>7740</v>
      </c>
      <c r="AJ181" s="13">
        <f t="shared" si="14"/>
        <v>1698</v>
      </c>
      <c r="AK181" s="13">
        <f t="shared" si="15"/>
        <v>11131</v>
      </c>
      <c r="AL181" s="13">
        <f t="shared" si="16"/>
        <v>237256</v>
      </c>
      <c r="AM181" s="17"/>
      <c r="AN181" s="18">
        <v>225000</v>
      </c>
      <c r="AO181" s="18">
        <f t="shared" si="17"/>
        <v>0</v>
      </c>
      <c r="AP181" s="18"/>
    </row>
    <row r="182" spans="1:42" ht="15.75" customHeight="1" x14ac:dyDescent="0.3">
      <c r="A182" s="7"/>
      <c r="B182" s="7"/>
      <c r="C182" s="7" t="str">
        <f t="shared" si="0"/>
        <v>VBFV60SB26</v>
      </c>
      <c r="D182" s="7" t="s">
        <v>43</v>
      </c>
      <c r="E182" s="7"/>
      <c r="F182" s="8">
        <v>350</v>
      </c>
      <c r="G182" s="9" t="s">
        <v>69</v>
      </c>
      <c r="H182" s="7" t="str">
        <f>VLOOKUP(G182,'[1]Price Components'!B:C,2,0)</f>
        <v>Andaman and Nicobar</v>
      </c>
      <c r="I182" s="7" t="str">
        <f>VLOOKUP(G182,'[1]Price Components'!B:D,3,0)</f>
        <v>EX-SHOWROOM</v>
      </c>
      <c r="J182" s="10">
        <f t="shared" si="1"/>
        <v>4.2501838477928836E-2</v>
      </c>
      <c r="K182" s="11">
        <v>163052</v>
      </c>
      <c r="L182" s="12">
        <f t="shared" si="2"/>
        <v>596.8201409309404</v>
      </c>
      <c r="M182" s="11">
        <v>163648.82014093094</v>
      </c>
      <c r="N182" s="8">
        <v>1279</v>
      </c>
      <c r="O182" s="13">
        <f>VLOOKUP(G182,'[1]Price Components'!B:E,4,0)</f>
        <v>800</v>
      </c>
      <c r="P182" s="13">
        <f t="shared" si="3"/>
        <v>165728</v>
      </c>
      <c r="Q182" s="14">
        <f>ROUND(IF(F182&lt;500,VLOOKUP(G182,'[1]Price Components'!B:G,5,0),VLOOKUP(G182,'[1]Price Components'!B:G,6,0)),2)</f>
        <v>745</v>
      </c>
      <c r="R182" s="11">
        <f t="shared" si="4"/>
        <v>9016</v>
      </c>
      <c r="S182" s="13">
        <v>0</v>
      </c>
      <c r="T182" s="11">
        <f t="shared" si="5"/>
        <v>9016</v>
      </c>
      <c r="U182" s="11">
        <v>292</v>
      </c>
      <c r="V182" s="13">
        <f t="shared" si="6"/>
        <v>9308</v>
      </c>
      <c r="W182" s="13">
        <f t="shared" si="7"/>
        <v>212132</v>
      </c>
      <c r="X182" s="13">
        <f t="shared" si="8"/>
        <v>175781</v>
      </c>
      <c r="Y182" s="13">
        <f t="shared" si="9"/>
        <v>49219</v>
      </c>
      <c r="Z182" s="11">
        <v>0</v>
      </c>
      <c r="AA182" s="13">
        <f t="shared" si="54"/>
        <v>225000</v>
      </c>
      <c r="AB182" s="13" t="str">
        <f t="shared" si="44"/>
        <v>C</v>
      </c>
      <c r="AC182" s="15">
        <f>IF(AB182="A",VLOOKUP($G182,'[1]Price Components'!$B:$AC,7,0),IF(AB182="B",VLOOKUP($G182,'[1]Price Components'!$B:$AC,8,0),IF(AB182="C",VLOOKUP($G182,'[1]Price Components'!$B:$AC,9,0),IF(AB182="E",15%,IF(AB182="D",VLOOKUP($G182,'[1]Price Components'!$B:$AC,10,0))))))</f>
        <v>0</v>
      </c>
      <c r="AD182" s="13">
        <f>ROUND(IF(AC182=0,VLOOKUP($G182,'[1]Price Components'!$B:$AC,11,0),IF(I182="BASIC",X182*AC182,AA182*AC182)),0)</f>
        <v>1125</v>
      </c>
      <c r="AE182" s="13">
        <f>ROUND(VLOOKUP($G182,'[1]Price Components'!$B:$AC,12,0),0)</f>
        <v>0</v>
      </c>
      <c r="AF182" s="16">
        <f>VLOOKUP($G182,'[1]Price Components'!$B:$AC,14,0)</f>
        <v>7.92E-3</v>
      </c>
      <c r="AG182" s="16">
        <f>VLOOKUP($G182,'[1]Price Components'!$B:$AC,15,0)</f>
        <v>8.2979999999999998E-3</v>
      </c>
      <c r="AH182" s="13">
        <f t="shared" si="12"/>
        <v>1693</v>
      </c>
      <c r="AI182" s="13">
        <f t="shared" si="13"/>
        <v>7740</v>
      </c>
      <c r="AJ182" s="13">
        <f t="shared" si="14"/>
        <v>1698</v>
      </c>
      <c r="AK182" s="13">
        <f t="shared" si="15"/>
        <v>11131</v>
      </c>
      <c r="AL182" s="13">
        <f t="shared" si="16"/>
        <v>237256</v>
      </c>
      <c r="AM182" s="17"/>
      <c r="AN182" s="18">
        <v>225000</v>
      </c>
      <c r="AO182" s="18">
        <f t="shared" si="17"/>
        <v>0</v>
      </c>
      <c r="AP182" s="18"/>
    </row>
    <row r="183" spans="1:42" ht="15.75" customHeight="1" x14ac:dyDescent="0.3">
      <c r="A183" s="7"/>
      <c r="B183" s="7"/>
      <c r="C183" s="7" t="str">
        <f t="shared" si="0"/>
        <v>VBFV60DN26</v>
      </c>
      <c r="D183" s="7" t="s">
        <v>44</v>
      </c>
      <c r="E183" s="7"/>
      <c r="F183" s="8">
        <v>350</v>
      </c>
      <c r="G183" s="9" t="s">
        <v>69</v>
      </c>
      <c r="H183" s="7" t="str">
        <f>VLOOKUP(G183,'[1]Price Components'!B:C,2,0)</f>
        <v>Andaman and Nicobar</v>
      </c>
      <c r="I183" s="7" t="str">
        <f>VLOOKUP(G183,'[1]Price Components'!B:D,3,0)</f>
        <v>EX-SHOWROOM</v>
      </c>
      <c r="J183" s="10">
        <f t="shared" si="1"/>
        <v>4.2499331409020909E-2</v>
      </c>
      <c r="K183" s="11">
        <v>166757</v>
      </c>
      <c r="L183" s="12">
        <f t="shared" si="2"/>
        <v>597.36060813502991</v>
      </c>
      <c r="M183" s="11">
        <v>167354.36060813503</v>
      </c>
      <c r="N183" s="8">
        <v>1279</v>
      </c>
      <c r="O183" s="13">
        <f>VLOOKUP(G183,'[1]Price Components'!B:E,4,0)</f>
        <v>800</v>
      </c>
      <c r="P183" s="13">
        <f t="shared" si="3"/>
        <v>169433</v>
      </c>
      <c r="Q183" s="14">
        <f>ROUND(IF(F183&lt;500,VLOOKUP(G183,'[1]Price Components'!B:G,5,0),VLOOKUP(G183,'[1]Price Components'!B:G,6,0)),2)</f>
        <v>745</v>
      </c>
      <c r="R183" s="11">
        <f t="shared" si="4"/>
        <v>9217</v>
      </c>
      <c r="S183" s="13">
        <v>0</v>
      </c>
      <c r="T183" s="11">
        <f t="shared" si="5"/>
        <v>9217</v>
      </c>
      <c r="U183" s="11">
        <v>292</v>
      </c>
      <c r="V183" s="13">
        <f t="shared" si="6"/>
        <v>9509</v>
      </c>
      <c r="W183" s="13">
        <f t="shared" si="7"/>
        <v>216874</v>
      </c>
      <c r="X183" s="13">
        <f t="shared" si="8"/>
        <v>179687</v>
      </c>
      <c r="Y183" s="13">
        <f t="shared" si="9"/>
        <v>50312</v>
      </c>
      <c r="Z183" s="11">
        <v>0</v>
      </c>
      <c r="AA183" s="13">
        <f>ROUND(X183+Y183+Z183,0)+1</f>
        <v>230000</v>
      </c>
      <c r="AB183" s="13" t="str">
        <f t="shared" si="44"/>
        <v>C</v>
      </c>
      <c r="AC183" s="15">
        <f>IF(AB183="A",VLOOKUP($G183,'[1]Price Components'!$B:$AC,7,0),IF(AB183="B",VLOOKUP($G183,'[1]Price Components'!$B:$AC,8,0),IF(AB183="C",VLOOKUP($G183,'[1]Price Components'!$B:$AC,9,0),IF(AB183="E",15%,IF(AB183="D",VLOOKUP($G183,'[1]Price Components'!$B:$AC,10,0))))))</f>
        <v>0</v>
      </c>
      <c r="AD183" s="13">
        <f>ROUND(IF(AC183=0,VLOOKUP($G183,'[1]Price Components'!$B:$AC,11,0),IF(I183="BASIC",X183*AC183,AA183*AC183)),0)</f>
        <v>1125</v>
      </c>
      <c r="AE183" s="13">
        <f>ROUND(VLOOKUP($G183,'[1]Price Components'!$B:$AC,12,0),0)</f>
        <v>0</v>
      </c>
      <c r="AF183" s="16">
        <f>VLOOKUP($G183,'[1]Price Components'!$B:$AC,14,0)</f>
        <v>7.92E-3</v>
      </c>
      <c r="AG183" s="16">
        <f>VLOOKUP($G183,'[1]Price Components'!$B:$AC,15,0)</f>
        <v>8.2979999999999998E-3</v>
      </c>
      <c r="AH183" s="13">
        <f t="shared" si="12"/>
        <v>1731</v>
      </c>
      <c r="AI183" s="13">
        <f t="shared" si="13"/>
        <v>7740</v>
      </c>
      <c r="AJ183" s="13">
        <f t="shared" si="14"/>
        <v>1705</v>
      </c>
      <c r="AK183" s="13">
        <f t="shared" si="15"/>
        <v>11176</v>
      </c>
      <c r="AL183" s="13">
        <f t="shared" si="16"/>
        <v>242301</v>
      </c>
      <c r="AM183" s="17"/>
      <c r="AN183" s="18">
        <v>230000</v>
      </c>
      <c r="AO183" s="18">
        <f t="shared" si="17"/>
        <v>0</v>
      </c>
      <c r="AP183" s="18"/>
    </row>
    <row r="184" spans="1:42" ht="15.75" customHeight="1" x14ac:dyDescent="0.3">
      <c r="A184" s="7"/>
      <c r="B184" s="7"/>
      <c r="C184" s="7" t="str">
        <f t="shared" si="0"/>
        <v>VBFV60RR27</v>
      </c>
      <c r="D184" s="7" t="s">
        <v>37</v>
      </c>
      <c r="E184" s="7"/>
      <c r="F184" s="8">
        <v>350</v>
      </c>
      <c r="G184" s="9" t="s">
        <v>70</v>
      </c>
      <c r="H184" s="7" t="str">
        <f>VLOOKUP(G184,'[1]Price Components'!B:C,2,0)</f>
        <v>Chandigarh</v>
      </c>
      <c r="I184" s="7" t="str">
        <f>VLOOKUP(G184,'[1]Price Components'!B:D,3,0)</f>
        <v>BASIC</v>
      </c>
      <c r="J184" s="10">
        <f t="shared" si="1"/>
        <v>4.2500026868141909E-2</v>
      </c>
      <c r="K184" s="11">
        <v>144158</v>
      </c>
      <c r="L184" s="12">
        <f t="shared" si="2"/>
        <v>-218.89311456753057</v>
      </c>
      <c r="M184" s="11">
        <v>143939.10688543247</v>
      </c>
      <c r="N184" s="8">
        <v>1279</v>
      </c>
      <c r="O184" s="13">
        <f>VLOOKUP(G184,'[1]Price Components'!B:E,4,0)</f>
        <v>168</v>
      </c>
      <c r="P184" s="13">
        <f t="shared" si="3"/>
        <v>145386</v>
      </c>
      <c r="Q184" s="14">
        <f>ROUND(IF(F184&lt;500,VLOOKUP(G184,'[1]Price Components'!B:G,5,0),VLOOKUP(G184,'[1]Price Components'!B:G,6,0)),2)</f>
        <v>2272</v>
      </c>
      <c r="R184" s="11">
        <f t="shared" si="4"/>
        <v>7909</v>
      </c>
      <c r="S184" s="13">
        <v>0</v>
      </c>
      <c r="T184" s="11">
        <f t="shared" si="5"/>
        <v>7909</v>
      </c>
      <c r="U184" s="11">
        <v>292</v>
      </c>
      <c r="V184" s="13">
        <f t="shared" si="6"/>
        <v>8201</v>
      </c>
      <c r="W184" s="13">
        <f t="shared" si="7"/>
        <v>186094</v>
      </c>
      <c r="X184" s="13">
        <f t="shared" si="8"/>
        <v>155859</v>
      </c>
      <c r="Y184" s="13">
        <f t="shared" si="9"/>
        <v>43641</v>
      </c>
      <c r="Z184" s="11">
        <v>0</v>
      </c>
      <c r="AA184" s="13">
        <f t="shared" ref="AA184:AA189" si="55">ROUND(X184+Y184+Z184,0)</f>
        <v>199500</v>
      </c>
      <c r="AB184" s="13" t="str">
        <f t="shared" si="44"/>
        <v>B</v>
      </c>
      <c r="AC184" s="15">
        <f>IF(AB184="A",VLOOKUP($G184,'[1]Price Components'!$B:$AC,7,0),IF(AB184="B",VLOOKUP($G184,'[1]Price Components'!$B:$AC,8,0),IF(AB184="C",VLOOKUP($G184,'[1]Price Components'!$B:$AC,9,0),IF(AB184="E",15%,IF(AB184="D",VLOOKUP($G184,'[1]Price Components'!$B:$AC,10,0))))))</f>
        <v>0.1</v>
      </c>
      <c r="AD184" s="13">
        <f>ROUND(IF(AC184=0,VLOOKUP($G184,'[1]Price Components'!$B:$AC,11,0),IF(I184="BASIC",X184*AC184,AA184*AC184)),0)</f>
        <v>15586</v>
      </c>
      <c r="AE184" s="13">
        <f>ROUND(VLOOKUP($G184,'[1]Price Components'!$B:$AC,12,0),0)</f>
        <v>200</v>
      </c>
      <c r="AF184" s="16">
        <f>VLOOKUP($G184,'[1]Price Components'!$B:$AC,14,0)</f>
        <v>7.92E-3</v>
      </c>
      <c r="AG184" s="16">
        <f>VLOOKUP($G184,'[1]Price Components'!$B:$AC,15,0)</f>
        <v>8.2979999999999998E-3</v>
      </c>
      <c r="AH184" s="13">
        <f t="shared" si="12"/>
        <v>1501</v>
      </c>
      <c r="AI184" s="13">
        <f t="shared" si="13"/>
        <v>7740</v>
      </c>
      <c r="AJ184" s="13">
        <f t="shared" si="14"/>
        <v>1663</v>
      </c>
      <c r="AK184" s="13">
        <f t="shared" si="15"/>
        <v>10904</v>
      </c>
      <c r="AL184" s="13">
        <f t="shared" si="16"/>
        <v>226190</v>
      </c>
      <c r="AM184" s="17"/>
      <c r="AN184" s="18">
        <v>199500</v>
      </c>
      <c r="AO184" s="18">
        <f t="shared" si="17"/>
        <v>0</v>
      </c>
      <c r="AP184" s="18"/>
    </row>
    <row r="185" spans="1:42" ht="15.75" customHeight="1" x14ac:dyDescent="0.3">
      <c r="A185" s="7"/>
      <c r="B185" s="7"/>
      <c r="C185" s="7" t="str">
        <f t="shared" si="0"/>
        <v>VBFV60EB27</v>
      </c>
      <c r="D185" s="7" t="s">
        <v>39</v>
      </c>
      <c r="E185" s="7"/>
      <c r="F185" s="8">
        <v>350</v>
      </c>
      <c r="G185" s="9" t="s">
        <v>70</v>
      </c>
      <c r="H185" s="7" t="str">
        <f>VLOOKUP(G185,'[1]Price Components'!B:C,2,0)</f>
        <v>Chandigarh</v>
      </c>
      <c r="I185" s="7" t="str">
        <f>VLOOKUP(G185,'[1]Price Components'!B:D,3,0)</f>
        <v>BASIC</v>
      </c>
      <c r="J185" s="10">
        <f t="shared" si="1"/>
        <v>4.2500026868141909E-2</v>
      </c>
      <c r="K185" s="11">
        <v>144158</v>
      </c>
      <c r="L185" s="12">
        <f t="shared" si="2"/>
        <v>-218.89311456753057</v>
      </c>
      <c r="M185" s="11">
        <v>143939.10688543247</v>
      </c>
      <c r="N185" s="8">
        <v>1279</v>
      </c>
      <c r="O185" s="13">
        <f>VLOOKUP(G185,'[1]Price Components'!B:E,4,0)</f>
        <v>168</v>
      </c>
      <c r="P185" s="13">
        <f t="shared" si="3"/>
        <v>145386</v>
      </c>
      <c r="Q185" s="14">
        <f>ROUND(IF(F185&lt;500,VLOOKUP(G185,'[1]Price Components'!B:G,5,0),VLOOKUP(G185,'[1]Price Components'!B:G,6,0)),2)</f>
        <v>2272</v>
      </c>
      <c r="R185" s="11">
        <f t="shared" si="4"/>
        <v>7909</v>
      </c>
      <c r="S185" s="13">
        <v>0</v>
      </c>
      <c r="T185" s="11">
        <f t="shared" si="5"/>
        <v>7909</v>
      </c>
      <c r="U185" s="11">
        <v>292</v>
      </c>
      <c r="V185" s="13">
        <f t="shared" si="6"/>
        <v>8201</v>
      </c>
      <c r="W185" s="13">
        <f t="shared" si="7"/>
        <v>186094</v>
      </c>
      <c r="X185" s="13">
        <f t="shared" si="8"/>
        <v>155859</v>
      </c>
      <c r="Y185" s="13">
        <f t="shared" si="9"/>
        <v>43641</v>
      </c>
      <c r="Z185" s="11">
        <v>0</v>
      </c>
      <c r="AA185" s="13">
        <f t="shared" si="55"/>
        <v>199500</v>
      </c>
      <c r="AB185" s="13" t="str">
        <f t="shared" si="44"/>
        <v>B</v>
      </c>
      <c r="AC185" s="15">
        <f>IF(AB185="A",VLOOKUP($G185,'[1]Price Components'!$B:$AC,7,0),IF(AB185="B",VLOOKUP($G185,'[1]Price Components'!$B:$AC,8,0),IF(AB185="C",VLOOKUP($G185,'[1]Price Components'!$B:$AC,9,0),IF(AB185="E",15%,IF(AB185="D",VLOOKUP($G185,'[1]Price Components'!$B:$AC,10,0))))))</f>
        <v>0.1</v>
      </c>
      <c r="AD185" s="13">
        <f>ROUND(IF(AC185=0,VLOOKUP($G185,'[1]Price Components'!$B:$AC,11,0),IF(I185="BASIC",X185*AC185,AA185*AC185)),0)</f>
        <v>15586</v>
      </c>
      <c r="AE185" s="13">
        <f>ROUND(VLOOKUP($G185,'[1]Price Components'!$B:$AC,12,0),0)</f>
        <v>200</v>
      </c>
      <c r="AF185" s="16">
        <f>VLOOKUP($G185,'[1]Price Components'!$B:$AC,14,0)</f>
        <v>7.92E-3</v>
      </c>
      <c r="AG185" s="16">
        <f>VLOOKUP($G185,'[1]Price Components'!$B:$AC,15,0)</f>
        <v>8.2979999999999998E-3</v>
      </c>
      <c r="AH185" s="13">
        <f t="shared" si="12"/>
        <v>1501</v>
      </c>
      <c r="AI185" s="13">
        <f t="shared" si="13"/>
        <v>7740</v>
      </c>
      <c r="AJ185" s="13">
        <f t="shared" si="14"/>
        <v>1663</v>
      </c>
      <c r="AK185" s="13">
        <f t="shared" si="15"/>
        <v>10904</v>
      </c>
      <c r="AL185" s="13">
        <f t="shared" si="16"/>
        <v>226190</v>
      </c>
      <c r="AM185" s="17"/>
      <c r="AN185" s="18">
        <v>199500</v>
      </c>
      <c r="AO185" s="18">
        <f t="shared" si="17"/>
        <v>0</v>
      </c>
      <c r="AP185" s="18"/>
    </row>
    <row r="186" spans="1:42" ht="15.75" customHeight="1" x14ac:dyDescent="0.3">
      <c r="A186" s="7"/>
      <c r="B186" s="7"/>
      <c r="C186" s="7" t="str">
        <f t="shared" si="0"/>
        <v>VBFV60HG27</v>
      </c>
      <c r="D186" s="7" t="s">
        <v>40</v>
      </c>
      <c r="E186" s="7"/>
      <c r="F186" s="8">
        <v>350</v>
      </c>
      <c r="G186" s="9" t="s">
        <v>70</v>
      </c>
      <c r="H186" s="7" t="str">
        <f>VLOOKUP(G186,'[1]Price Components'!B:C,2,0)</f>
        <v>Chandigarh</v>
      </c>
      <c r="I186" s="7" t="str">
        <f>VLOOKUP(G186,'[1]Price Components'!B:D,3,0)</f>
        <v>BASIC</v>
      </c>
      <c r="J186" s="10">
        <f t="shared" si="1"/>
        <v>4.2497754290487119E-2</v>
      </c>
      <c r="K186" s="11">
        <v>147492</v>
      </c>
      <c r="L186" s="12">
        <f t="shared" si="2"/>
        <v>-217.90275376883801</v>
      </c>
      <c r="M186" s="11">
        <v>147274.09724623116</v>
      </c>
      <c r="N186" s="8">
        <v>1279</v>
      </c>
      <c r="O186" s="13">
        <f>VLOOKUP(G186,'[1]Price Components'!B:E,4,0)</f>
        <v>168</v>
      </c>
      <c r="P186" s="13">
        <f t="shared" si="3"/>
        <v>148721</v>
      </c>
      <c r="Q186" s="14">
        <f>ROUND(IF(F186&lt;500,VLOOKUP(G186,'[1]Price Components'!B:G,5,0),VLOOKUP(G186,'[1]Price Components'!B:G,6,0)),2)</f>
        <v>2272</v>
      </c>
      <c r="R186" s="11">
        <f t="shared" si="4"/>
        <v>8090</v>
      </c>
      <c r="S186" s="13">
        <v>0</v>
      </c>
      <c r="T186" s="11">
        <f t="shared" si="5"/>
        <v>8090</v>
      </c>
      <c r="U186" s="11">
        <v>292</v>
      </c>
      <c r="V186" s="13">
        <f t="shared" si="6"/>
        <v>8382</v>
      </c>
      <c r="W186" s="13">
        <f t="shared" si="7"/>
        <v>190363</v>
      </c>
      <c r="X186" s="13">
        <f t="shared" si="8"/>
        <v>159375</v>
      </c>
      <c r="Y186" s="13">
        <f t="shared" si="9"/>
        <v>44625</v>
      </c>
      <c r="Z186" s="11">
        <v>0</v>
      </c>
      <c r="AA186" s="13">
        <f t="shared" si="55"/>
        <v>204000</v>
      </c>
      <c r="AB186" s="13" t="str">
        <f t="shared" si="44"/>
        <v>C</v>
      </c>
      <c r="AC186" s="15">
        <f>IF(AB186="A",VLOOKUP($G186,'[1]Price Components'!$B:$AC,7,0),IF(AB186="B",VLOOKUP($G186,'[1]Price Components'!$B:$AC,8,0),IF(AB186="C",VLOOKUP($G186,'[1]Price Components'!$B:$AC,9,0),IF(AB186="E",15%,IF(AB186="D",VLOOKUP($G186,'[1]Price Components'!$B:$AC,10,0))))))</f>
        <v>0.1</v>
      </c>
      <c r="AD186" s="13">
        <f>ROUND(IF(AC186=0,VLOOKUP($G186,'[1]Price Components'!$B:$AC,11,0),IF(I186="BASIC",X186*AC186,AA186*AC186)),0)</f>
        <v>15938</v>
      </c>
      <c r="AE186" s="13">
        <f>ROUND(VLOOKUP($G186,'[1]Price Components'!$B:$AC,12,0),0)</f>
        <v>200</v>
      </c>
      <c r="AF186" s="16">
        <f>VLOOKUP($G186,'[1]Price Components'!$B:$AC,14,0)</f>
        <v>7.92E-3</v>
      </c>
      <c r="AG186" s="16">
        <f>VLOOKUP($G186,'[1]Price Components'!$B:$AC,15,0)</f>
        <v>8.2979999999999998E-3</v>
      </c>
      <c r="AH186" s="13">
        <f t="shared" si="12"/>
        <v>1535</v>
      </c>
      <c r="AI186" s="13">
        <f t="shared" si="13"/>
        <v>7740</v>
      </c>
      <c r="AJ186" s="13">
        <f t="shared" si="14"/>
        <v>1670</v>
      </c>
      <c r="AK186" s="13">
        <f t="shared" si="15"/>
        <v>10945</v>
      </c>
      <c r="AL186" s="13">
        <f t="shared" si="16"/>
        <v>231083</v>
      </c>
      <c r="AM186" s="17"/>
      <c r="AN186" s="18">
        <v>204000</v>
      </c>
      <c r="AO186" s="18">
        <f t="shared" si="17"/>
        <v>0</v>
      </c>
      <c r="AP186" s="18"/>
    </row>
    <row r="187" spans="1:42" ht="15.75" customHeight="1" x14ac:dyDescent="0.3">
      <c r="A187" s="7"/>
      <c r="B187" s="7"/>
      <c r="C187" s="7" t="str">
        <f t="shared" si="0"/>
        <v>VBFV60SE27</v>
      </c>
      <c r="D187" s="7" t="s">
        <v>41</v>
      </c>
      <c r="E187" s="7"/>
      <c r="F187" s="8">
        <v>350</v>
      </c>
      <c r="G187" s="9" t="s">
        <v>70</v>
      </c>
      <c r="H187" s="7" t="str">
        <f>VLOOKUP(G187,'[1]Price Components'!B:C,2,0)</f>
        <v>Chandigarh</v>
      </c>
      <c r="I187" s="7" t="str">
        <f>VLOOKUP(G187,'[1]Price Components'!B:D,3,0)</f>
        <v>BASIC</v>
      </c>
      <c r="J187" s="10">
        <f t="shared" si="1"/>
        <v>4.2499615847885676E-2</v>
      </c>
      <c r="K187" s="11">
        <v>156384</v>
      </c>
      <c r="L187" s="12">
        <f t="shared" si="2"/>
        <v>-219.27837044055923</v>
      </c>
      <c r="M187" s="11">
        <v>156164.72162955944</v>
      </c>
      <c r="N187" s="8">
        <v>1279</v>
      </c>
      <c r="O187" s="13">
        <f>VLOOKUP(G187,'[1]Price Components'!B:E,4,0)</f>
        <v>168</v>
      </c>
      <c r="P187" s="13">
        <f t="shared" si="3"/>
        <v>157612</v>
      </c>
      <c r="Q187" s="14">
        <f>ROUND(IF(F187&lt;500,VLOOKUP(G187,'[1]Price Components'!B:G,5,0),VLOOKUP(G187,'[1]Price Components'!B:G,6,0)),2)</f>
        <v>2272</v>
      </c>
      <c r="R187" s="11">
        <f t="shared" si="4"/>
        <v>8574</v>
      </c>
      <c r="S187" s="13">
        <v>0</v>
      </c>
      <c r="T187" s="11">
        <f t="shared" si="5"/>
        <v>8574</v>
      </c>
      <c r="U187" s="11">
        <v>292</v>
      </c>
      <c r="V187" s="13">
        <f t="shared" si="6"/>
        <v>8866</v>
      </c>
      <c r="W187" s="13">
        <f t="shared" si="7"/>
        <v>201743</v>
      </c>
      <c r="X187" s="13">
        <f t="shared" si="8"/>
        <v>168750</v>
      </c>
      <c r="Y187" s="13">
        <f t="shared" si="9"/>
        <v>47250</v>
      </c>
      <c r="Z187" s="11">
        <v>0</v>
      </c>
      <c r="AA187" s="13">
        <f t="shared" si="55"/>
        <v>216000</v>
      </c>
      <c r="AB187" s="13" t="str">
        <f t="shared" si="44"/>
        <v>C</v>
      </c>
      <c r="AC187" s="15">
        <f>IF(AB187="A",VLOOKUP($G187,'[1]Price Components'!$B:$AC,7,0),IF(AB187="B",VLOOKUP($G187,'[1]Price Components'!$B:$AC,8,0),IF(AB187="C",VLOOKUP($G187,'[1]Price Components'!$B:$AC,9,0),IF(AB187="E",15%,IF(AB187="D",VLOOKUP($G187,'[1]Price Components'!$B:$AC,10,0))))))</f>
        <v>0.1</v>
      </c>
      <c r="AD187" s="13">
        <f>ROUND(IF(AC187=0,VLOOKUP($G187,'[1]Price Components'!$B:$AC,11,0),IF(I187="BASIC",X187*AC187,AA187*AC187)),0)</f>
        <v>16875</v>
      </c>
      <c r="AE187" s="13">
        <f>ROUND(VLOOKUP($G187,'[1]Price Components'!$B:$AC,12,0),0)</f>
        <v>200</v>
      </c>
      <c r="AF187" s="16">
        <f>VLOOKUP($G187,'[1]Price Components'!$B:$AC,14,0)</f>
        <v>7.92E-3</v>
      </c>
      <c r="AG187" s="16">
        <f>VLOOKUP($G187,'[1]Price Components'!$B:$AC,15,0)</f>
        <v>8.2979999999999998E-3</v>
      </c>
      <c r="AH187" s="13">
        <f t="shared" si="12"/>
        <v>1625</v>
      </c>
      <c r="AI187" s="13">
        <f t="shared" si="13"/>
        <v>7740</v>
      </c>
      <c r="AJ187" s="13">
        <f t="shared" si="14"/>
        <v>1686</v>
      </c>
      <c r="AK187" s="13">
        <f t="shared" si="15"/>
        <v>11051</v>
      </c>
      <c r="AL187" s="13">
        <f t="shared" si="16"/>
        <v>244126</v>
      </c>
      <c r="AM187" s="17"/>
      <c r="AN187" s="18">
        <v>216000</v>
      </c>
      <c r="AO187" s="18">
        <f t="shared" si="17"/>
        <v>0</v>
      </c>
      <c r="AP187" s="18"/>
    </row>
    <row r="188" spans="1:42" ht="15.75" customHeight="1" x14ac:dyDescent="0.3">
      <c r="A188" s="7"/>
      <c r="B188" s="7"/>
      <c r="C188" s="7" t="str">
        <f t="shared" si="0"/>
        <v>VBFV60GM27</v>
      </c>
      <c r="D188" s="7" t="s">
        <v>42</v>
      </c>
      <c r="E188" s="7"/>
      <c r="F188" s="8">
        <v>350</v>
      </c>
      <c r="G188" s="9" t="s">
        <v>70</v>
      </c>
      <c r="H188" s="7" t="str">
        <f>VLOOKUP(G188,'[1]Price Components'!B:C,2,0)</f>
        <v>Chandigarh</v>
      </c>
      <c r="I188" s="7" t="str">
        <f>VLOOKUP(G188,'[1]Price Components'!B:D,3,0)</f>
        <v>BASIC</v>
      </c>
      <c r="J188" s="10">
        <f t="shared" si="1"/>
        <v>4.2500879787709604E-2</v>
      </c>
      <c r="K188" s="11">
        <v>163052</v>
      </c>
      <c r="L188" s="12">
        <f t="shared" si="2"/>
        <v>-218.53857337572845</v>
      </c>
      <c r="M188" s="11">
        <v>162833.46142662427</v>
      </c>
      <c r="N188" s="8">
        <v>1279</v>
      </c>
      <c r="O188" s="13">
        <f>VLOOKUP(G188,'[1]Price Components'!B:E,4,0)</f>
        <v>168</v>
      </c>
      <c r="P188" s="13">
        <f t="shared" si="3"/>
        <v>164280</v>
      </c>
      <c r="Q188" s="14">
        <f>ROUND(IF(F188&lt;500,VLOOKUP(G188,'[1]Price Components'!B:G,5,0),VLOOKUP(G188,'[1]Price Components'!B:G,6,0)),2)</f>
        <v>2272</v>
      </c>
      <c r="R188" s="11">
        <f t="shared" si="4"/>
        <v>8937</v>
      </c>
      <c r="S188" s="13">
        <v>0</v>
      </c>
      <c r="T188" s="11">
        <f t="shared" si="5"/>
        <v>8937</v>
      </c>
      <c r="U188" s="11">
        <v>292</v>
      </c>
      <c r="V188" s="13">
        <f t="shared" si="6"/>
        <v>9229</v>
      </c>
      <c r="W188" s="13">
        <f t="shared" si="7"/>
        <v>210278</v>
      </c>
      <c r="X188" s="13">
        <f t="shared" si="8"/>
        <v>175781</v>
      </c>
      <c r="Y188" s="13">
        <f t="shared" si="9"/>
        <v>49219</v>
      </c>
      <c r="Z188" s="11">
        <v>0</v>
      </c>
      <c r="AA188" s="13">
        <f t="shared" si="55"/>
        <v>225000</v>
      </c>
      <c r="AB188" s="13" t="str">
        <f t="shared" si="44"/>
        <v>C</v>
      </c>
      <c r="AC188" s="15">
        <f>IF(AB188="A",VLOOKUP($G188,'[1]Price Components'!$B:$AC,7,0),IF(AB188="B",VLOOKUP($G188,'[1]Price Components'!$B:$AC,8,0),IF(AB188="C",VLOOKUP($G188,'[1]Price Components'!$B:$AC,9,0),IF(AB188="E",15%,IF(AB188="D",VLOOKUP($G188,'[1]Price Components'!$B:$AC,10,0))))))</f>
        <v>0.1</v>
      </c>
      <c r="AD188" s="13">
        <f>ROUND(IF(AC188=0,VLOOKUP($G188,'[1]Price Components'!$B:$AC,11,0),IF(I188="BASIC",X188*AC188,AA188*AC188)),0)</f>
        <v>17578</v>
      </c>
      <c r="AE188" s="13">
        <f>ROUND(VLOOKUP($G188,'[1]Price Components'!$B:$AC,12,0),0)</f>
        <v>200</v>
      </c>
      <c r="AF188" s="16">
        <f>VLOOKUP($G188,'[1]Price Components'!$B:$AC,14,0)</f>
        <v>7.92E-3</v>
      </c>
      <c r="AG188" s="16">
        <f>VLOOKUP($G188,'[1]Price Components'!$B:$AC,15,0)</f>
        <v>8.2979999999999998E-3</v>
      </c>
      <c r="AH188" s="13">
        <f t="shared" si="12"/>
        <v>1693</v>
      </c>
      <c r="AI188" s="13">
        <f t="shared" si="13"/>
        <v>7740</v>
      </c>
      <c r="AJ188" s="13">
        <f t="shared" si="14"/>
        <v>1698</v>
      </c>
      <c r="AK188" s="13">
        <f t="shared" si="15"/>
        <v>11131</v>
      </c>
      <c r="AL188" s="13">
        <f t="shared" si="16"/>
        <v>253909</v>
      </c>
      <c r="AM188" s="17"/>
      <c r="AN188" s="18">
        <v>225000</v>
      </c>
      <c r="AO188" s="18">
        <f t="shared" si="17"/>
        <v>0</v>
      </c>
      <c r="AP188" s="18"/>
    </row>
    <row r="189" spans="1:42" ht="15.75" customHeight="1" x14ac:dyDescent="0.3">
      <c r="A189" s="7"/>
      <c r="B189" s="7"/>
      <c r="C189" s="7" t="str">
        <f t="shared" si="0"/>
        <v>VBFV60SB27</v>
      </c>
      <c r="D189" s="7" t="s">
        <v>43</v>
      </c>
      <c r="E189" s="7"/>
      <c r="F189" s="8">
        <v>350</v>
      </c>
      <c r="G189" s="9" t="s">
        <v>70</v>
      </c>
      <c r="H189" s="7" t="str">
        <f>VLOOKUP(G189,'[1]Price Components'!B:C,2,0)</f>
        <v>Chandigarh</v>
      </c>
      <c r="I189" s="7" t="str">
        <f>VLOOKUP(G189,'[1]Price Components'!B:D,3,0)</f>
        <v>BASIC</v>
      </c>
      <c r="J189" s="10">
        <f t="shared" si="1"/>
        <v>4.2500879787709604E-2</v>
      </c>
      <c r="K189" s="11">
        <v>163052</v>
      </c>
      <c r="L189" s="12">
        <f t="shared" si="2"/>
        <v>-218.53857337572845</v>
      </c>
      <c r="M189" s="11">
        <v>162833.46142662427</v>
      </c>
      <c r="N189" s="8">
        <v>1279</v>
      </c>
      <c r="O189" s="13">
        <f>VLOOKUP(G189,'[1]Price Components'!B:E,4,0)</f>
        <v>168</v>
      </c>
      <c r="P189" s="13">
        <f t="shared" si="3"/>
        <v>164280</v>
      </c>
      <c r="Q189" s="14">
        <f>ROUND(IF(F189&lt;500,VLOOKUP(G189,'[1]Price Components'!B:G,5,0),VLOOKUP(G189,'[1]Price Components'!B:G,6,0)),2)</f>
        <v>2272</v>
      </c>
      <c r="R189" s="11">
        <f t="shared" si="4"/>
        <v>8937</v>
      </c>
      <c r="S189" s="13">
        <v>0</v>
      </c>
      <c r="T189" s="11">
        <f t="shared" si="5"/>
        <v>8937</v>
      </c>
      <c r="U189" s="11">
        <v>292</v>
      </c>
      <c r="V189" s="13">
        <f t="shared" si="6"/>
        <v>9229</v>
      </c>
      <c r="W189" s="13">
        <f t="shared" si="7"/>
        <v>210278</v>
      </c>
      <c r="X189" s="13">
        <f t="shared" si="8"/>
        <v>175781</v>
      </c>
      <c r="Y189" s="13">
        <f t="shared" si="9"/>
        <v>49219</v>
      </c>
      <c r="Z189" s="11">
        <v>0</v>
      </c>
      <c r="AA189" s="13">
        <f t="shared" si="55"/>
        <v>225000</v>
      </c>
      <c r="AB189" s="13" t="str">
        <f t="shared" si="44"/>
        <v>C</v>
      </c>
      <c r="AC189" s="15">
        <f>IF(AB189="A",VLOOKUP($G189,'[1]Price Components'!$B:$AC,7,0),IF(AB189="B",VLOOKUP($G189,'[1]Price Components'!$B:$AC,8,0),IF(AB189="C",VLOOKUP($G189,'[1]Price Components'!$B:$AC,9,0),IF(AB189="E",15%,IF(AB189="D",VLOOKUP($G189,'[1]Price Components'!$B:$AC,10,0))))))</f>
        <v>0.1</v>
      </c>
      <c r="AD189" s="13">
        <f>ROUND(IF(AC189=0,VLOOKUP($G189,'[1]Price Components'!$B:$AC,11,0),IF(I189="BASIC",X189*AC189,AA189*AC189)),0)</f>
        <v>17578</v>
      </c>
      <c r="AE189" s="13">
        <f>ROUND(VLOOKUP($G189,'[1]Price Components'!$B:$AC,12,0),0)</f>
        <v>200</v>
      </c>
      <c r="AF189" s="16">
        <f>VLOOKUP($G189,'[1]Price Components'!$B:$AC,14,0)</f>
        <v>7.92E-3</v>
      </c>
      <c r="AG189" s="16">
        <f>VLOOKUP($G189,'[1]Price Components'!$B:$AC,15,0)</f>
        <v>8.2979999999999998E-3</v>
      </c>
      <c r="AH189" s="13">
        <f t="shared" si="12"/>
        <v>1693</v>
      </c>
      <c r="AI189" s="13">
        <f t="shared" si="13"/>
        <v>7740</v>
      </c>
      <c r="AJ189" s="13">
        <f t="shared" si="14"/>
        <v>1698</v>
      </c>
      <c r="AK189" s="13">
        <f t="shared" si="15"/>
        <v>11131</v>
      </c>
      <c r="AL189" s="13">
        <f t="shared" si="16"/>
        <v>253909</v>
      </c>
      <c r="AM189" s="17"/>
      <c r="AN189" s="18">
        <v>225000</v>
      </c>
      <c r="AO189" s="18">
        <f t="shared" si="17"/>
        <v>0</v>
      </c>
      <c r="AP189" s="18"/>
    </row>
    <row r="190" spans="1:42" ht="15.75" customHeight="1" x14ac:dyDescent="0.3">
      <c r="A190" s="7"/>
      <c r="B190" s="7"/>
      <c r="C190" s="7" t="str">
        <f t="shared" si="0"/>
        <v>VBFV60DN27</v>
      </c>
      <c r="D190" s="7" t="s">
        <v>44</v>
      </c>
      <c r="E190" s="7"/>
      <c r="F190" s="8">
        <v>350</v>
      </c>
      <c r="G190" s="9" t="s">
        <v>70</v>
      </c>
      <c r="H190" s="7" t="str">
        <f>VLOOKUP(G190,'[1]Price Components'!B:C,2,0)</f>
        <v>Chandigarh</v>
      </c>
      <c r="I190" s="7" t="str">
        <f>VLOOKUP(G190,'[1]Price Components'!B:D,3,0)</f>
        <v>BASIC</v>
      </c>
      <c r="J190" s="10">
        <f t="shared" si="1"/>
        <v>4.2498174596899835E-2</v>
      </c>
      <c r="K190" s="11">
        <v>166757</v>
      </c>
      <c r="L190" s="12">
        <f t="shared" si="2"/>
        <v>-218.63697534572566</v>
      </c>
      <c r="M190" s="11">
        <v>166538.36302465427</v>
      </c>
      <c r="N190" s="8">
        <v>1279</v>
      </c>
      <c r="O190" s="13">
        <f>VLOOKUP(G190,'[1]Price Components'!B:E,4,0)</f>
        <v>168</v>
      </c>
      <c r="P190" s="13">
        <f t="shared" si="3"/>
        <v>167985</v>
      </c>
      <c r="Q190" s="14">
        <f>ROUND(IF(F190&lt;500,VLOOKUP(G190,'[1]Price Components'!B:G,5,0),VLOOKUP(G190,'[1]Price Components'!B:G,6,0)),2)</f>
        <v>2272</v>
      </c>
      <c r="R190" s="11">
        <f t="shared" si="4"/>
        <v>9138</v>
      </c>
      <c r="S190" s="13">
        <v>0</v>
      </c>
      <c r="T190" s="11">
        <f t="shared" si="5"/>
        <v>9138</v>
      </c>
      <c r="U190" s="11">
        <v>292</v>
      </c>
      <c r="V190" s="13">
        <f t="shared" si="6"/>
        <v>9430</v>
      </c>
      <c r="W190" s="13">
        <f t="shared" si="7"/>
        <v>215021</v>
      </c>
      <c r="X190" s="13">
        <f t="shared" si="8"/>
        <v>179687</v>
      </c>
      <c r="Y190" s="13">
        <f t="shared" si="9"/>
        <v>50312</v>
      </c>
      <c r="Z190" s="11">
        <v>0</v>
      </c>
      <c r="AA190" s="13">
        <f>ROUND(X190+Y190+Z190,0)+1</f>
        <v>230000</v>
      </c>
      <c r="AB190" s="13" t="str">
        <f t="shared" si="44"/>
        <v>C</v>
      </c>
      <c r="AC190" s="15">
        <f>IF(AB190="A",VLOOKUP($G190,'[1]Price Components'!$B:$AC,7,0),IF(AB190="B",VLOOKUP($G190,'[1]Price Components'!$B:$AC,8,0),IF(AB190="C",VLOOKUP($G190,'[1]Price Components'!$B:$AC,9,0),IF(AB190="E",15%,IF(AB190="D",VLOOKUP($G190,'[1]Price Components'!$B:$AC,10,0))))))</f>
        <v>0.1</v>
      </c>
      <c r="AD190" s="13">
        <f>ROUND(IF(AC190=0,VLOOKUP($G190,'[1]Price Components'!$B:$AC,11,0),IF(I190="BASIC",X190*AC190,AA190*AC190)),0)</f>
        <v>17969</v>
      </c>
      <c r="AE190" s="13">
        <f>ROUND(VLOOKUP($G190,'[1]Price Components'!$B:$AC,12,0),0)</f>
        <v>200</v>
      </c>
      <c r="AF190" s="16">
        <f>VLOOKUP($G190,'[1]Price Components'!$B:$AC,14,0)</f>
        <v>7.92E-3</v>
      </c>
      <c r="AG190" s="16">
        <f>VLOOKUP($G190,'[1]Price Components'!$B:$AC,15,0)</f>
        <v>8.2979999999999998E-3</v>
      </c>
      <c r="AH190" s="13">
        <f t="shared" si="12"/>
        <v>1731</v>
      </c>
      <c r="AI190" s="13">
        <f t="shared" si="13"/>
        <v>7740</v>
      </c>
      <c r="AJ190" s="13">
        <f t="shared" si="14"/>
        <v>1705</v>
      </c>
      <c r="AK190" s="13">
        <f t="shared" si="15"/>
        <v>11176</v>
      </c>
      <c r="AL190" s="13">
        <f t="shared" si="16"/>
        <v>259345</v>
      </c>
      <c r="AM190" s="17"/>
      <c r="AN190" s="18">
        <v>230000</v>
      </c>
      <c r="AO190" s="18">
        <f t="shared" si="17"/>
        <v>0</v>
      </c>
      <c r="AP190" s="18"/>
    </row>
    <row r="191" spans="1:42" ht="15.75" customHeight="1" x14ac:dyDescent="0.3">
      <c r="A191" s="7"/>
      <c r="B191" s="7"/>
      <c r="C191" s="7" t="str">
        <f t="shared" si="0"/>
        <v>VBFV60RR30</v>
      </c>
      <c r="D191" s="7" t="s">
        <v>37</v>
      </c>
      <c r="E191" s="7"/>
      <c r="F191" s="8">
        <v>350</v>
      </c>
      <c r="G191" s="9" t="s">
        <v>71</v>
      </c>
      <c r="H191" s="7" t="str">
        <f>VLOOKUP(G191,'[1]Price Components'!B:C,2,0)</f>
        <v>Delhi</v>
      </c>
      <c r="I191" s="7" t="str">
        <f>VLOOKUP(G191,'[1]Price Components'!B:D,3,0)</f>
        <v>EX-SHOWROOM</v>
      </c>
      <c r="J191" s="10">
        <f t="shared" si="1"/>
        <v>4.249902598615566E-2</v>
      </c>
      <c r="K191" s="11">
        <v>144158</v>
      </c>
      <c r="L191" s="12">
        <f t="shared" si="2"/>
        <v>520.03494503273396</v>
      </c>
      <c r="M191" s="11">
        <v>144678.03494503273</v>
      </c>
      <c r="N191" s="8">
        <v>1279</v>
      </c>
      <c r="O191" s="13">
        <f>VLOOKUP(G191,'[1]Price Components'!B:E,4,0)</f>
        <v>425</v>
      </c>
      <c r="P191" s="13">
        <f t="shared" si="3"/>
        <v>146382</v>
      </c>
      <c r="Q191" s="14">
        <f>ROUND(IF(F191&lt;500,VLOOKUP(G191,'[1]Price Components'!B:G,5,0),VLOOKUP(G191,'[1]Price Components'!B:G,6,0)),2)</f>
        <v>1222</v>
      </c>
      <c r="R191" s="11">
        <f t="shared" si="4"/>
        <v>7963</v>
      </c>
      <c r="S191" s="13">
        <v>0</v>
      </c>
      <c r="T191" s="11">
        <f t="shared" si="5"/>
        <v>7963</v>
      </c>
      <c r="U191" s="11">
        <v>292</v>
      </c>
      <c r="V191" s="13">
        <f t="shared" si="6"/>
        <v>8255</v>
      </c>
      <c r="W191" s="13">
        <f t="shared" si="7"/>
        <v>187369</v>
      </c>
      <c r="X191" s="13">
        <f t="shared" si="8"/>
        <v>155859</v>
      </c>
      <c r="Y191" s="13">
        <f t="shared" si="9"/>
        <v>43641</v>
      </c>
      <c r="Z191" s="11">
        <v>0</v>
      </c>
      <c r="AA191" s="13">
        <f t="shared" ref="AA191:AA196" si="56">ROUND(X191+Y191+Z191,0)</f>
        <v>199500</v>
      </c>
      <c r="AB191" s="13" t="str">
        <f t="shared" si="44"/>
        <v>B</v>
      </c>
      <c r="AC191" s="15">
        <f>IF(AB191="A",VLOOKUP($G191,'[1]Price Components'!$B:$AC,7,0),IF(AB191="B",VLOOKUP($G191,'[1]Price Components'!$B:$AC,8,0),IF(AB191="C",VLOOKUP($G191,'[1]Price Components'!$B:$AC,9,0),IF(AB191="E",15%,IF(AB191="D",VLOOKUP($G191,'[1]Price Components'!$B:$AC,10,0))))))</f>
        <v>0.08</v>
      </c>
      <c r="AD191" s="13">
        <f>ROUND(IF(AC191=0,VLOOKUP($G191,'[1]Price Components'!$B:$AC,11,0),IF(I191="BASIC",X191*AC191,AA191*AC191)),0)</f>
        <v>15960</v>
      </c>
      <c r="AE191" s="13">
        <f>ROUND(VLOOKUP($G191,'[1]Price Components'!$B:$AC,12,0),0)</f>
        <v>530</v>
      </c>
      <c r="AF191" s="16">
        <f>VLOOKUP($G191,'[1]Price Components'!$B:$AC,14,0)</f>
        <v>8.0599999999999995E-3</v>
      </c>
      <c r="AG191" s="16">
        <f>VLOOKUP($G191,'[1]Price Components'!$B:$AC,15,0)</f>
        <v>8.456E-3</v>
      </c>
      <c r="AH191" s="13">
        <f t="shared" si="12"/>
        <v>1528</v>
      </c>
      <c r="AI191" s="13">
        <f t="shared" si="13"/>
        <v>7740</v>
      </c>
      <c r="AJ191" s="13">
        <f t="shared" si="14"/>
        <v>1668</v>
      </c>
      <c r="AK191" s="13">
        <f t="shared" si="15"/>
        <v>10936</v>
      </c>
      <c r="AL191" s="13">
        <f t="shared" si="16"/>
        <v>226926</v>
      </c>
      <c r="AM191" s="17"/>
      <c r="AN191" s="18">
        <v>199500</v>
      </c>
      <c r="AO191" s="18">
        <f t="shared" si="17"/>
        <v>0</v>
      </c>
      <c r="AP191" s="18"/>
    </row>
    <row r="192" spans="1:42" ht="15.75" customHeight="1" x14ac:dyDescent="0.3">
      <c r="A192" s="7"/>
      <c r="B192" s="7"/>
      <c r="C192" s="7" t="str">
        <f t="shared" si="0"/>
        <v>VBFV60EB30</v>
      </c>
      <c r="D192" s="7" t="s">
        <v>39</v>
      </c>
      <c r="E192" s="7"/>
      <c r="F192" s="8">
        <v>350</v>
      </c>
      <c r="G192" s="9" t="s">
        <v>71</v>
      </c>
      <c r="H192" s="7" t="str">
        <f>VLOOKUP(G192,'[1]Price Components'!B:C,2,0)</f>
        <v>Delhi</v>
      </c>
      <c r="I192" s="7" t="str">
        <f>VLOOKUP(G192,'[1]Price Components'!B:D,3,0)</f>
        <v>EX-SHOWROOM</v>
      </c>
      <c r="J192" s="10">
        <f t="shared" si="1"/>
        <v>4.249902598615566E-2</v>
      </c>
      <c r="K192" s="11">
        <v>144158</v>
      </c>
      <c r="L192" s="12">
        <f t="shared" si="2"/>
        <v>520.03494503273396</v>
      </c>
      <c r="M192" s="11">
        <v>144678.03494503273</v>
      </c>
      <c r="N192" s="8">
        <v>1279</v>
      </c>
      <c r="O192" s="13">
        <f>VLOOKUP(G192,'[1]Price Components'!B:E,4,0)</f>
        <v>425</v>
      </c>
      <c r="P192" s="13">
        <f t="shared" si="3"/>
        <v>146382</v>
      </c>
      <c r="Q192" s="14">
        <f>ROUND(IF(F192&lt;500,VLOOKUP(G192,'[1]Price Components'!B:G,5,0),VLOOKUP(G192,'[1]Price Components'!B:G,6,0)),2)</f>
        <v>1222</v>
      </c>
      <c r="R192" s="11">
        <f t="shared" si="4"/>
        <v>7963</v>
      </c>
      <c r="S192" s="13">
        <v>0</v>
      </c>
      <c r="T192" s="11">
        <f t="shared" si="5"/>
        <v>7963</v>
      </c>
      <c r="U192" s="11">
        <v>292</v>
      </c>
      <c r="V192" s="13">
        <f t="shared" si="6"/>
        <v>8255</v>
      </c>
      <c r="W192" s="13">
        <f t="shared" si="7"/>
        <v>187369</v>
      </c>
      <c r="X192" s="13">
        <f t="shared" si="8"/>
        <v>155859</v>
      </c>
      <c r="Y192" s="13">
        <f t="shared" si="9"/>
        <v>43641</v>
      </c>
      <c r="Z192" s="11">
        <v>0</v>
      </c>
      <c r="AA192" s="13">
        <f t="shared" si="56"/>
        <v>199500</v>
      </c>
      <c r="AB192" s="13" t="str">
        <f t="shared" si="44"/>
        <v>B</v>
      </c>
      <c r="AC192" s="15">
        <f>IF(AB192="A",VLOOKUP($G192,'[1]Price Components'!$B:$AC,7,0),IF(AB192="B",VLOOKUP($G192,'[1]Price Components'!$B:$AC,8,0),IF(AB192="C",VLOOKUP($G192,'[1]Price Components'!$B:$AC,9,0),IF(AB192="E",15%,IF(AB192="D",VLOOKUP($G192,'[1]Price Components'!$B:$AC,10,0))))))</f>
        <v>0.08</v>
      </c>
      <c r="AD192" s="13">
        <f>ROUND(IF(AC192=0,VLOOKUP($G192,'[1]Price Components'!$B:$AC,11,0),IF(I192="BASIC",X192*AC192,AA192*AC192)),0)</f>
        <v>15960</v>
      </c>
      <c r="AE192" s="13">
        <f>ROUND(VLOOKUP($G192,'[1]Price Components'!$B:$AC,12,0),0)</f>
        <v>530</v>
      </c>
      <c r="AF192" s="16">
        <f>VLOOKUP($G192,'[1]Price Components'!$B:$AC,14,0)</f>
        <v>8.0599999999999995E-3</v>
      </c>
      <c r="AG192" s="16">
        <f>VLOOKUP($G192,'[1]Price Components'!$B:$AC,15,0)</f>
        <v>8.456E-3</v>
      </c>
      <c r="AH192" s="13">
        <f t="shared" si="12"/>
        <v>1528</v>
      </c>
      <c r="AI192" s="13">
        <f t="shared" si="13"/>
        <v>7740</v>
      </c>
      <c r="AJ192" s="13">
        <f t="shared" si="14"/>
        <v>1668</v>
      </c>
      <c r="AK192" s="13">
        <f t="shared" si="15"/>
        <v>10936</v>
      </c>
      <c r="AL192" s="13">
        <f t="shared" si="16"/>
        <v>226926</v>
      </c>
      <c r="AM192" s="17"/>
      <c r="AN192" s="18">
        <v>199500</v>
      </c>
      <c r="AO192" s="18">
        <f t="shared" si="17"/>
        <v>0</v>
      </c>
      <c r="AP192" s="18"/>
    </row>
    <row r="193" spans="1:42" ht="15.75" customHeight="1" x14ac:dyDescent="0.3">
      <c r="A193" s="7"/>
      <c r="B193" s="7"/>
      <c r="C193" s="7" t="str">
        <f t="shared" si="0"/>
        <v>VBFV60HG30</v>
      </c>
      <c r="D193" s="7" t="s">
        <v>40</v>
      </c>
      <c r="E193" s="7"/>
      <c r="F193" s="8">
        <v>350</v>
      </c>
      <c r="G193" s="9" t="s">
        <v>71</v>
      </c>
      <c r="H193" s="7" t="str">
        <f>VLOOKUP(G193,'[1]Price Components'!B:C,2,0)</f>
        <v>Delhi</v>
      </c>
      <c r="I193" s="7" t="str">
        <f>VLOOKUP(G193,'[1]Price Components'!B:D,3,0)</f>
        <v>EX-SHOWROOM</v>
      </c>
      <c r="J193" s="10">
        <f t="shared" si="1"/>
        <v>4.2502452566323658E-2</v>
      </c>
      <c r="K193" s="11">
        <v>147492</v>
      </c>
      <c r="L193" s="12">
        <f t="shared" si="2"/>
        <v>519.77544923484675</v>
      </c>
      <c r="M193" s="11">
        <v>148011.77544923485</v>
      </c>
      <c r="N193" s="8">
        <v>1279</v>
      </c>
      <c r="O193" s="13">
        <f>VLOOKUP(G193,'[1]Price Components'!B:E,4,0)</f>
        <v>425</v>
      </c>
      <c r="P193" s="13">
        <f t="shared" si="3"/>
        <v>149716</v>
      </c>
      <c r="Q193" s="14">
        <f>ROUND(IF(F193&lt;500,VLOOKUP(G193,'[1]Price Components'!B:G,5,0),VLOOKUP(G193,'[1]Price Components'!B:G,6,0)),2)</f>
        <v>1222</v>
      </c>
      <c r="R193" s="11">
        <f t="shared" si="4"/>
        <v>8145</v>
      </c>
      <c r="S193" s="13">
        <v>0</v>
      </c>
      <c r="T193" s="11">
        <f t="shared" si="5"/>
        <v>8145</v>
      </c>
      <c r="U193" s="11">
        <v>292</v>
      </c>
      <c r="V193" s="13">
        <f t="shared" si="6"/>
        <v>8437</v>
      </c>
      <c r="W193" s="13">
        <f t="shared" si="7"/>
        <v>191636</v>
      </c>
      <c r="X193" s="13">
        <f t="shared" si="8"/>
        <v>159375</v>
      </c>
      <c r="Y193" s="13">
        <f t="shared" si="9"/>
        <v>44625</v>
      </c>
      <c r="Z193" s="11">
        <v>0</v>
      </c>
      <c r="AA193" s="13">
        <f t="shared" si="56"/>
        <v>204000</v>
      </c>
      <c r="AB193" s="13" t="str">
        <f t="shared" si="44"/>
        <v>C</v>
      </c>
      <c r="AC193" s="15">
        <f>IF(AB193="A",VLOOKUP($G193,'[1]Price Components'!$B:$AC,7,0),IF(AB193="B",VLOOKUP($G193,'[1]Price Components'!$B:$AC,8,0),IF(AB193="C",VLOOKUP($G193,'[1]Price Components'!$B:$AC,9,0),IF(AB193="E",15%,IF(AB193="D",VLOOKUP($G193,'[1]Price Components'!$B:$AC,10,0))))))</f>
        <v>0.08</v>
      </c>
      <c r="AD193" s="13">
        <f>ROUND(IF(AC193=0,VLOOKUP($G193,'[1]Price Components'!$B:$AC,11,0),IF(I193="BASIC",X193*AC193,AA193*AC193)),0)</f>
        <v>16320</v>
      </c>
      <c r="AE193" s="13">
        <f>ROUND(VLOOKUP($G193,'[1]Price Components'!$B:$AC,12,0),0)</f>
        <v>530</v>
      </c>
      <c r="AF193" s="16">
        <f>VLOOKUP($G193,'[1]Price Components'!$B:$AC,14,0)</f>
        <v>8.0599999999999995E-3</v>
      </c>
      <c r="AG193" s="16">
        <f>VLOOKUP($G193,'[1]Price Components'!$B:$AC,15,0)</f>
        <v>8.456E-3</v>
      </c>
      <c r="AH193" s="13">
        <f t="shared" si="12"/>
        <v>1562</v>
      </c>
      <c r="AI193" s="13">
        <f t="shared" si="13"/>
        <v>7740</v>
      </c>
      <c r="AJ193" s="13">
        <f t="shared" si="14"/>
        <v>1674</v>
      </c>
      <c r="AK193" s="13">
        <f t="shared" si="15"/>
        <v>10976</v>
      </c>
      <c r="AL193" s="13">
        <f t="shared" si="16"/>
        <v>231826</v>
      </c>
      <c r="AM193" s="17"/>
      <c r="AN193" s="18">
        <v>204000</v>
      </c>
      <c r="AO193" s="18">
        <f t="shared" si="17"/>
        <v>0</v>
      </c>
      <c r="AP193" s="18"/>
    </row>
    <row r="194" spans="1:42" ht="15.75" customHeight="1" x14ac:dyDescent="0.3">
      <c r="A194" s="7"/>
      <c r="B194" s="7"/>
      <c r="C194" s="7" t="str">
        <f t="shared" si="0"/>
        <v>VBFV60SE30</v>
      </c>
      <c r="D194" s="7" t="s">
        <v>41</v>
      </c>
      <c r="E194" s="7"/>
      <c r="F194" s="8">
        <v>350</v>
      </c>
      <c r="G194" s="9" t="s">
        <v>71</v>
      </c>
      <c r="H194" s="7" t="str">
        <f>VLOOKUP(G194,'[1]Price Components'!B:C,2,0)</f>
        <v>Delhi</v>
      </c>
      <c r="I194" s="7" t="str">
        <f>VLOOKUP(G194,'[1]Price Components'!B:D,3,0)</f>
        <v>EX-SHOWROOM</v>
      </c>
      <c r="J194" s="10">
        <f t="shared" si="1"/>
        <v>4.2498694697021937E-2</v>
      </c>
      <c r="K194" s="11">
        <v>156384</v>
      </c>
      <c r="L194" s="12">
        <f t="shared" si="2"/>
        <v>519.55063507109298</v>
      </c>
      <c r="M194" s="11">
        <v>156903.55063507109</v>
      </c>
      <c r="N194" s="8">
        <v>1279</v>
      </c>
      <c r="O194" s="13">
        <f>VLOOKUP(G194,'[1]Price Components'!B:E,4,0)</f>
        <v>425</v>
      </c>
      <c r="P194" s="13">
        <f t="shared" si="3"/>
        <v>158608</v>
      </c>
      <c r="Q194" s="14">
        <f>ROUND(IF(F194&lt;500,VLOOKUP(G194,'[1]Price Components'!B:G,5,0),VLOOKUP(G194,'[1]Price Components'!B:G,6,0)),2)</f>
        <v>1222</v>
      </c>
      <c r="R194" s="11">
        <f t="shared" si="4"/>
        <v>8628</v>
      </c>
      <c r="S194" s="13">
        <v>0</v>
      </c>
      <c r="T194" s="11">
        <f t="shared" si="5"/>
        <v>8628</v>
      </c>
      <c r="U194" s="11">
        <v>292</v>
      </c>
      <c r="V194" s="13">
        <f t="shared" si="6"/>
        <v>8920</v>
      </c>
      <c r="W194" s="13">
        <f t="shared" si="7"/>
        <v>203018</v>
      </c>
      <c r="X194" s="13">
        <f t="shared" si="8"/>
        <v>168750</v>
      </c>
      <c r="Y194" s="13">
        <f t="shared" si="9"/>
        <v>47250</v>
      </c>
      <c r="Z194" s="11">
        <v>0</v>
      </c>
      <c r="AA194" s="13">
        <f t="shared" si="56"/>
        <v>216000</v>
      </c>
      <c r="AB194" s="13" t="str">
        <f t="shared" si="44"/>
        <v>C</v>
      </c>
      <c r="AC194" s="15">
        <f>IF(AB194="A",VLOOKUP($G194,'[1]Price Components'!$B:$AC,7,0),IF(AB194="B",VLOOKUP($G194,'[1]Price Components'!$B:$AC,8,0),IF(AB194="C",VLOOKUP($G194,'[1]Price Components'!$B:$AC,9,0),IF(AB194="E",15%,IF(AB194="D",VLOOKUP($G194,'[1]Price Components'!$B:$AC,10,0))))))</f>
        <v>0.08</v>
      </c>
      <c r="AD194" s="13">
        <f>ROUND(IF(AC194=0,VLOOKUP($G194,'[1]Price Components'!$B:$AC,11,0),IF(I194="BASIC",X194*AC194,AA194*AC194)),0)</f>
        <v>17280</v>
      </c>
      <c r="AE194" s="13">
        <f>ROUND(VLOOKUP($G194,'[1]Price Components'!$B:$AC,12,0),0)</f>
        <v>530</v>
      </c>
      <c r="AF194" s="16">
        <f>VLOOKUP($G194,'[1]Price Components'!$B:$AC,14,0)</f>
        <v>8.0599999999999995E-3</v>
      </c>
      <c r="AG194" s="16">
        <f>VLOOKUP($G194,'[1]Price Components'!$B:$AC,15,0)</f>
        <v>8.456E-3</v>
      </c>
      <c r="AH194" s="13">
        <f t="shared" si="12"/>
        <v>1654</v>
      </c>
      <c r="AI194" s="13">
        <f t="shared" si="13"/>
        <v>7740</v>
      </c>
      <c r="AJ194" s="13">
        <f t="shared" si="14"/>
        <v>1691</v>
      </c>
      <c r="AK194" s="13">
        <f t="shared" si="15"/>
        <v>11085</v>
      </c>
      <c r="AL194" s="13">
        <f t="shared" si="16"/>
        <v>244895</v>
      </c>
      <c r="AM194" s="17"/>
      <c r="AN194" s="18">
        <v>216000</v>
      </c>
      <c r="AO194" s="18">
        <f t="shared" si="17"/>
        <v>0</v>
      </c>
      <c r="AP194" s="18"/>
    </row>
    <row r="195" spans="1:42" ht="15.75" customHeight="1" x14ac:dyDescent="0.3">
      <c r="A195" s="7"/>
      <c r="B195" s="7"/>
      <c r="C195" s="7" t="str">
        <f t="shared" si="0"/>
        <v>VBFV60GM30</v>
      </c>
      <c r="D195" s="7" t="s">
        <v>42</v>
      </c>
      <c r="E195" s="7"/>
      <c r="F195" s="8">
        <v>350</v>
      </c>
      <c r="G195" s="9" t="s">
        <v>71</v>
      </c>
      <c r="H195" s="7" t="str">
        <f>VLOOKUP(G195,'[1]Price Components'!B:C,2,0)</f>
        <v>Delhi</v>
      </c>
      <c r="I195" s="7" t="str">
        <f>VLOOKUP(G195,'[1]Price Components'!B:D,3,0)</f>
        <v>EX-SHOWROOM</v>
      </c>
      <c r="J195" s="10">
        <f t="shared" si="1"/>
        <v>4.2499988182630358E-2</v>
      </c>
      <c r="K195" s="11">
        <v>163052</v>
      </c>
      <c r="L195" s="12">
        <f t="shared" si="2"/>
        <v>520.04772376193432</v>
      </c>
      <c r="M195" s="11">
        <v>163572.04772376193</v>
      </c>
      <c r="N195" s="8">
        <v>1279</v>
      </c>
      <c r="O195" s="13">
        <f>VLOOKUP(G195,'[1]Price Components'!B:E,4,0)</f>
        <v>425</v>
      </c>
      <c r="P195" s="13">
        <f t="shared" si="3"/>
        <v>165276</v>
      </c>
      <c r="Q195" s="14">
        <f>ROUND(IF(F195&lt;500,VLOOKUP(G195,'[1]Price Components'!B:G,5,0),VLOOKUP(G195,'[1]Price Components'!B:G,6,0)),2)</f>
        <v>1222</v>
      </c>
      <c r="R195" s="11">
        <f t="shared" si="4"/>
        <v>8991</v>
      </c>
      <c r="S195" s="13">
        <v>0</v>
      </c>
      <c r="T195" s="11">
        <f t="shared" si="5"/>
        <v>8991</v>
      </c>
      <c r="U195" s="11">
        <v>292</v>
      </c>
      <c r="V195" s="13">
        <f t="shared" si="6"/>
        <v>9283</v>
      </c>
      <c r="W195" s="13">
        <f t="shared" si="7"/>
        <v>211553</v>
      </c>
      <c r="X195" s="13">
        <f t="shared" si="8"/>
        <v>175781</v>
      </c>
      <c r="Y195" s="13">
        <f t="shared" si="9"/>
        <v>49219</v>
      </c>
      <c r="Z195" s="11">
        <v>0</v>
      </c>
      <c r="AA195" s="13">
        <f t="shared" si="56"/>
        <v>225000</v>
      </c>
      <c r="AB195" s="13" t="str">
        <f t="shared" si="44"/>
        <v>C</v>
      </c>
      <c r="AC195" s="15">
        <f>IF(AB195="A",VLOOKUP($G195,'[1]Price Components'!$B:$AC,7,0),IF(AB195="B",VLOOKUP($G195,'[1]Price Components'!$B:$AC,8,0),IF(AB195="C",VLOOKUP($G195,'[1]Price Components'!$B:$AC,9,0),IF(AB195="E",15%,IF(AB195="D",VLOOKUP($G195,'[1]Price Components'!$B:$AC,10,0))))))</f>
        <v>0.08</v>
      </c>
      <c r="AD195" s="13">
        <f>ROUND(IF(AC195=0,VLOOKUP($G195,'[1]Price Components'!$B:$AC,11,0),IF(I195="BASIC",X195*AC195,AA195*AC195)),0)</f>
        <v>18000</v>
      </c>
      <c r="AE195" s="13">
        <f>ROUND(VLOOKUP($G195,'[1]Price Components'!$B:$AC,12,0),0)</f>
        <v>530</v>
      </c>
      <c r="AF195" s="16">
        <f>VLOOKUP($G195,'[1]Price Components'!$B:$AC,14,0)</f>
        <v>8.0599999999999995E-3</v>
      </c>
      <c r="AG195" s="16">
        <f>VLOOKUP($G195,'[1]Price Components'!$B:$AC,15,0)</f>
        <v>8.456E-3</v>
      </c>
      <c r="AH195" s="13">
        <f t="shared" si="12"/>
        <v>1723</v>
      </c>
      <c r="AI195" s="13">
        <f t="shared" si="13"/>
        <v>7740</v>
      </c>
      <c r="AJ195" s="13">
        <f t="shared" si="14"/>
        <v>1703</v>
      </c>
      <c r="AK195" s="13">
        <f t="shared" si="15"/>
        <v>11166</v>
      </c>
      <c r="AL195" s="13">
        <f t="shared" si="16"/>
        <v>254696</v>
      </c>
      <c r="AM195" s="17"/>
      <c r="AN195" s="18">
        <v>225000</v>
      </c>
      <c r="AO195" s="18">
        <f t="shared" si="17"/>
        <v>0</v>
      </c>
      <c r="AP195" s="18"/>
    </row>
    <row r="196" spans="1:42" ht="15.75" customHeight="1" x14ac:dyDescent="0.3">
      <c r="A196" s="7"/>
      <c r="B196" s="7"/>
      <c r="C196" s="7" t="str">
        <f t="shared" si="0"/>
        <v>VBFV60SB30</v>
      </c>
      <c r="D196" s="7" t="s">
        <v>43</v>
      </c>
      <c r="E196" s="7"/>
      <c r="F196" s="8">
        <v>350</v>
      </c>
      <c r="G196" s="9" t="s">
        <v>71</v>
      </c>
      <c r="H196" s="7" t="str">
        <f>VLOOKUP(G196,'[1]Price Components'!B:C,2,0)</f>
        <v>Delhi</v>
      </c>
      <c r="I196" s="7" t="str">
        <f>VLOOKUP(G196,'[1]Price Components'!B:D,3,0)</f>
        <v>EX-SHOWROOM</v>
      </c>
      <c r="J196" s="10">
        <f t="shared" si="1"/>
        <v>4.2499988182630358E-2</v>
      </c>
      <c r="K196" s="11">
        <v>163052</v>
      </c>
      <c r="L196" s="12">
        <f t="shared" si="2"/>
        <v>520.04772376193432</v>
      </c>
      <c r="M196" s="11">
        <v>163572.04772376193</v>
      </c>
      <c r="N196" s="8">
        <v>1279</v>
      </c>
      <c r="O196" s="13">
        <f>VLOOKUP(G196,'[1]Price Components'!B:E,4,0)</f>
        <v>425</v>
      </c>
      <c r="P196" s="13">
        <f t="shared" si="3"/>
        <v>165276</v>
      </c>
      <c r="Q196" s="14">
        <f>ROUND(IF(F196&lt;500,VLOOKUP(G196,'[1]Price Components'!B:G,5,0),VLOOKUP(G196,'[1]Price Components'!B:G,6,0)),2)</f>
        <v>1222</v>
      </c>
      <c r="R196" s="11">
        <f t="shared" si="4"/>
        <v>8991</v>
      </c>
      <c r="S196" s="13">
        <v>0</v>
      </c>
      <c r="T196" s="11">
        <f t="shared" si="5"/>
        <v>8991</v>
      </c>
      <c r="U196" s="11">
        <v>292</v>
      </c>
      <c r="V196" s="13">
        <f t="shared" si="6"/>
        <v>9283</v>
      </c>
      <c r="W196" s="13">
        <f t="shared" si="7"/>
        <v>211553</v>
      </c>
      <c r="X196" s="13">
        <f t="shared" si="8"/>
        <v>175781</v>
      </c>
      <c r="Y196" s="13">
        <f t="shared" si="9"/>
        <v>49219</v>
      </c>
      <c r="Z196" s="11">
        <v>0</v>
      </c>
      <c r="AA196" s="13">
        <f t="shared" si="56"/>
        <v>225000</v>
      </c>
      <c r="AB196" s="13" t="str">
        <f t="shared" si="44"/>
        <v>C</v>
      </c>
      <c r="AC196" s="15">
        <f>IF(AB196="A",VLOOKUP($G196,'[1]Price Components'!$B:$AC,7,0),IF(AB196="B",VLOOKUP($G196,'[1]Price Components'!$B:$AC,8,0),IF(AB196="C",VLOOKUP($G196,'[1]Price Components'!$B:$AC,9,0),IF(AB196="E",15%,IF(AB196="D",VLOOKUP($G196,'[1]Price Components'!$B:$AC,10,0))))))</f>
        <v>0.08</v>
      </c>
      <c r="AD196" s="13">
        <f>ROUND(IF(AC196=0,VLOOKUP($G196,'[1]Price Components'!$B:$AC,11,0),IF(I196="BASIC",X196*AC196,AA196*AC196)),0)</f>
        <v>18000</v>
      </c>
      <c r="AE196" s="13">
        <f>ROUND(VLOOKUP($G196,'[1]Price Components'!$B:$AC,12,0),0)</f>
        <v>530</v>
      </c>
      <c r="AF196" s="16">
        <f>VLOOKUP($G196,'[1]Price Components'!$B:$AC,14,0)</f>
        <v>8.0599999999999995E-3</v>
      </c>
      <c r="AG196" s="16">
        <f>VLOOKUP($G196,'[1]Price Components'!$B:$AC,15,0)</f>
        <v>8.456E-3</v>
      </c>
      <c r="AH196" s="13">
        <f t="shared" si="12"/>
        <v>1723</v>
      </c>
      <c r="AI196" s="13">
        <f t="shared" si="13"/>
        <v>7740</v>
      </c>
      <c r="AJ196" s="13">
        <f t="shared" si="14"/>
        <v>1703</v>
      </c>
      <c r="AK196" s="13">
        <f t="shared" si="15"/>
        <v>11166</v>
      </c>
      <c r="AL196" s="13">
        <f t="shared" si="16"/>
        <v>254696</v>
      </c>
      <c r="AM196" s="17"/>
      <c r="AN196" s="18">
        <v>225000</v>
      </c>
      <c r="AO196" s="18">
        <f t="shared" si="17"/>
        <v>0</v>
      </c>
      <c r="AP196" s="18"/>
    </row>
    <row r="197" spans="1:42" ht="15.75" customHeight="1" x14ac:dyDescent="0.3">
      <c r="A197" s="7"/>
      <c r="B197" s="7"/>
      <c r="C197" s="7" t="str">
        <f t="shared" si="0"/>
        <v>VBFV60DN30</v>
      </c>
      <c r="D197" s="7" t="s">
        <v>44</v>
      </c>
      <c r="E197" s="7"/>
      <c r="F197" s="8">
        <v>350</v>
      </c>
      <c r="G197" s="9" t="s">
        <v>71</v>
      </c>
      <c r="H197" s="7" t="str">
        <f>VLOOKUP(G197,'[1]Price Components'!B:C,2,0)</f>
        <v>Delhi</v>
      </c>
      <c r="I197" s="7" t="str">
        <f>VLOOKUP(G197,'[1]Price Components'!B:D,3,0)</f>
        <v>EX-SHOWROOM</v>
      </c>
      <c r="J197" s="10">
        <f t="shared" si="1"/>
        <v>4.2497711448306469E-2</v>
      </c>
      <c r="K197" s="11">
        <v>166757</v>
      </c>
      <c r="L197" s="12">
        <f t="shared" si="2"/>
        <v>519.30940795049537</v>
      </c>
      <c r="M197" s="11">
        <v>167276.3094079505</v>
      </c>
      <c r="N197" s="8">
        <v>1279</v>
      </c>
      <c r="O197" s="13">
        <f>VLOOKUP(G197,'[1]Price Components'!B:E,4,0)</f>
        <v>425</v>
      </c>
      <c r="P197" s="13">
        <f t="shared" si="3"/>
        <v>168980</v>
      </c>
      <c r="Q197" s="14">
        <f>ROUND(IF(F197&lt;500,VLOOKUP(G197,'[1]Price Components'!B:G,5,0),VLOOKUP(G197,'[1]Price Components'!B:G,6,0)),2)</f>
        <v>1222</v>
      </c>
      <c r="R197" s="11">
        <f t="shared" si="4"/>
        <v>9192</v>
      </c>
      <c r="S197" s="13">
        <v>0</v>
      </c>
      <c r="T197" s="11">
        <f t="shared" si="5"/>
        <v>9192</v>
      </c>
      <c r="U197" s="11">
        <v>292</v>
      </c>
      <c r="V197" s="13">
        <f t="shared" si="6"/>
        <v>9484</v>
      </c>
      <c r="W197" s="13">
        <f t="shared" si="7"/>
        <v>216294</v>
      </c>
      <c r="X197" s="13">
        <f t="shared" si="8"/>
        <v>179686</v>
      </c>
      <c r="Y197" s="13">
        <f t="shared" si="9"/>
        <v>50312</v>
      </c>
      <c r="Z197" s="11">
        <v>0</v>
      </c>
      <c r="AA197" s="13">
        <f>ROUND(X197+Y197+Z197,0)+2</f>
        <v>230000</v>
      </c>
      <c r="AB197" s="13" t="str">
        <f t="shared" si="44"/>
        <v>C</v>
      </c>
      <c r="AC197" s="15">
        <f>IF(AB197="A",VLOOKUP($G197,'[1]Price Components'!$B:$AC,7,0),IF(AB197="B",VLOOKUP($G197,'[1]Price Components'!$B:$AC,8,0),IF(AB197="C",VLOOKUP($G197,'[1]Price Components'!$B:$AC,9,0),IF(AB197="E",15%,IF(AB197="D",VLOOKUP($G197,'[1]Price Components'!$B:$AC,10,0))))))</f>
        <v>0.08</v>
      </c>
      <c r="AD197" s="13">
        <f>ROUND(IF(AC197=0,VLOOKUP($G197,'[1]Price Components'!$B:$AC,11,0),IF(I197="BASIC",X197*AC197,AA197*AC197)),0)</f>
        <v>18400</v>
      </c>
      <c r="AE197" s="13">
        <f>ROUND(VLOOKUP($G197,'[1]Price Components'!$B:$AC,12,0),0)</f>
        <v>530</v>
      </c>
      <c r="AF197" s="16">
        <f>VLOOKUP($G197,'[1]Price Components'!$B:$AC,14,0)</f>
        <v>8.0599999999999995E-3</v>
      </c>
      <c r="AG197" s="16">
        <f>VLOOKUP($G197,'[1]Price Components'!$B:$AC,15,0)</f>
        <v>8.456E-3</v>
      </c>
      <c r="AH197" s="13">
        <f t="shared" si="12"/>
        <v>1761</v>
      </c>
      <c r="AI197" s="13">
        <f t="shared" si="13"/>
        <v>7740</v>
      </c>
      <c r="AJ197" s="13">
        <f t="shared" si="14"/>
        <v>1710</v>
      </c>
      <c r="AK197" s="13">
        <f t="shared" si="15"/>
        <v>11211</v>
      </c>
      <c r="AL197" s="13">
        <f t="shared" si="16"/>
        <v>260141</v>
      </c>
      <c r="AM197" s="17"/>
      <c r="AN197" s="18">
        <v>230000</v>
      </c>
      <c r="AO197" s="18">
        <f t="shared" si="17"/>
        <v>0</v>
      </c>
      <c r="AP197" s="18"/>
    </row>
    <row r="198" spans="1:42" ht="15.75" customHeight="1" x14ac:dyDescent="0.3">
      <c r="A198" s="7"/>
      <c r="B198" s="7"/>
      <c r="C198" s="7" t="str">
        <f t="shared" si="0"/>
        <v>VBFV60RR32</v>
      </c>
      <c r="D198" s="7" t="s">
        <v>37</v>
      </c>
      <c r="E198" s="7"/>
      <c r="F198" s="8">
        <v>350</v>
      </c>
      <c r="G198" s="9" t="s">
        <v>72</v>
      </c>
      <c r="H198" s="7" t="str">
        <f>VLOOKUP(G198,'[1]Price Components'!B:C,2,0)</f>
        <v>Pondicherry</v>
      </c>
      <c r="I198" s="7" t="str">
        <f>VLOOKUP(G198,'[1]Price Components'!B:D,3,0)</f>
        <v>EX-SHOWROOM</v>
      </c>
      <c r="J198" s="10">
        <f t="shared" si="1"/>
        <v>4.2499826192984612E-2</v>
      </c>
      <c r="K198" s="11">
        <v>144158</v>
      </c>
      <c r="L198" s="12">
        <f t="shared" si="2"/>
        <v>-151.68359375</v>
      </c>
      <c r="M198" s="11">
        <v>144006.31640625</v>
      </c>
      <c r="N198" s="8">
        <v>1279</v>
      </c>
      <c r="O198" s="13">
        <f>VLOOKUP(G198,'[1]Price Components'!B:E,4,0)</f>
        <v>800</v>
      </c>
      <c r="P198" s="13">
        <f t="shared" si="3"/>
        <v>146085</v>
      </c>
      <c r="Q198" s="14">
        <f>ROUND(IF(F198&lt;500,VLOOKUP(G198,'[1]Price Components'!B:G,5,0),VLOOKUP(G198,'[1]Price Components'!B:G,6,0)),2)</f>
        <v>1535</v>
      </c>
      <c r="R198" s="11">
        <f t="shared" si="4"/>
        <v>7947</v>
      </c>
      <c r="S198" s="13">
        <v>0</v>
      </c>
      <c r="T198" s="11">
        <f t="shared" si="5"/>
        <v>7947</v>
      </c>
      <c r="U198" s="11">
        <v>292</v>
      </c>
      <c r="V198" s="13">
        <f t="shared" si="6"/>
        <v>8239</v>
      </c>
      <c r="W198" s="13">
        <f t="shared" si="7"/>
        <v>186989</v>
      </c>
      <c r="X198" s="13">
        <f t="shared" si="8"/>
        <v>155859</v>
      </c>
      <c r="Y198" s="13">
        <f t="shared" si="9"/>
        <v>43641</v>
      </c>
      <c r="Z198" s="11">
        <v>0</v>
      </c>
      <c r="AA198" s="13">
        <f t="shared" ref="AA198:AA203" si="57">ROUND(X198+Y198+Z198,0)</f>
        <v>199500</v>
      </c>
      <c r="AB198" s="13" t="str">
        <f t="shared" si="44"/>
        <v>B</v>
      </c>
      <c r="AC198" s="15">
        <f>IF(AB198="A",VLOOKUP($G198,'[1]Price Components'!$B:$AC,7,0),IF(AB198="B",VLOOKUP($G198,'[1]Price Components'!$B:$AC,8,0),IF(AB198="C",VLOOKUP($G198,'[1]Price Components'!$B:$AC,9,0),IF(AB198="E",15%,IF(AB198="D",VLOOKUP($G198,'[1]Price Components'!$B:$AC,10,0))))))</f>
        <v>0</v>
      </c>
      <c r="AD198" s="13">
        <f>ROUND(IF(AC198=0,VLOOKUP($G198,'[1]Price Components'!$B:$AC,11,0),IF(I198="BASIC",X198*AC198,AA198*AC198)),0)</f>
        <v>2400</v>
      </c>
      <c r="AE198" s="13">
        <f>ROUND(VLOOKUP($G198,'[1]Price Components'!$B:$AC,12,0),0)</f>
        <v>650</v>
      </c>
      <c r="AF198" s="16">
        <f>VLOOKUP($G198,'[1]Price Components'!$B:$AC,14,0)</f>
        <v>7.92E-3</v>
      </c>
      <c r="AG198" s="16">
        <f>VLOOKUP($G198,'[1]Price Components'!$B:$AC,15,0)</f>
        <v>8.2979999999999998E-3</v>
      </c>
      <c r="AH198" s="13">
        <f t="shared" si="12"/>
        <v>1501</v>
      </c>
      <c r="AI198" s="13">
        <f t="shared" si="13"/>
        <v>7740</v>
      </c>
      <c r="AJ198" s="13">
        <f t="shared" si="14"/>
        <v>1663</v>
      </c>
      <c r="AK198" s="13">
        <f t="shared" si="15"/>
        <v>10904</v>
      </c>
      <c r="AL198" s="13">
        <f t="shared" si="16"/>
        <v>213454</v>
      </c>
      <c r="AM198" s="17"/>
      <c r="AN198" s="18">
        <v>199500</v>
      </c>
      <c r="AO198" s="18">
        <f t="shared" si="17"/>
        <v>0</v>
      </c>
      <c r="AP198" s="18"/>
    </row>
    <row r="199" spans="1:42" ht="15.75" customHeight="1" x14ac:dyDescent="0.3">
      <c r="A199" s="7"/>
      <c r="B199" s="7"/>
      <c r="C199" s="7" t="str">
        <f t="shared" si="0"/>
        <v>VBFV60EB32</v>
      </c>
      <c r="D199" s="7" t="s">
        <v>39</v>
      </c>
      <c r="E199" s="7"/>
      <c r="F199" s="8">
        <v>350</v>
      </c>
      <c r="G199" s="9" t="s">
        <v>72</v>
      </c>
      <c r="H199" s="7" t="str">
        <f>VLOOKUP(G199,'[1]Price Components'!B:C,2,0)</f>
        <v>Pondicherry</v>
      </c>
      <c r="I199" s="7" t="str">
        <f>VLOOKUP(G199,'[1]Price Components'!B:D,3,0)</f>
        <v>EX-SHOWROOM</v>
      </c>
      <c r="J199" s="10">
        <f t="shared" si="1"/>
        <v>4.2499826192984612E-2</v>
      </c>
      <c r="K199" s="11">
        <v>144158</v>
      </c>
      <c r="L199" s="12">
        <f t="shared" si="2"/>
        <v>-151.68359375</v>
      </c>
      <c r="M199" s="11">
        <v>144006.31640625</v>
      </c>
      <c r="N199" s="8">
        <v>1279</v>
      </c>
      <c r="O199" s="13">
        <f>VLOOKUP(G199,'[1]Price Components'!B:E,4,0)</f>
        <v>800</v>
      </c>
      <c r="P199" s="13">
        <f t="shared" si="3"/>
        <v>146085</v>
      </c>
      <c r="Q199" s="14">
        <f>ROUND(IF(F199&lt;500,VLOOKUP(G199,'[1]Price Components'!B:G,5,0),VLOOKUP(G199,'[1]Price Components'!B:G,6,0)),2)</f>
        <v>1535</v>
      </c>
      <c r="R199" s="11">
        <f t="shared" si="4"/>
        <v>7947</v>
      </c>
      <c r="S199" s="13">
        <v>0</v>
      </c>
      <c r="T199" s="11">
        <f t="shared" si="5"/>
        <v>7947</v>
      </c>
      <c r="U199" s="11">
        <v>292</v>
      </c>
      <c r="V199" s="13">
        <f t="shared" si="6"/>
        <v>8239</v>
      </c>
      <c r="W199" s="13">
        <f t="shared" si="7"/>
        <v>186989</v>
      </c>
      <c r="X199" s="13">
        <f t="shared" si="8"/>
        <v>155859</v>
      </c>
      <c r="Y199" s="13">
        <f t="shared" si="9"/>
        <v>43641</v>
      </c>
      <c r="Z199" s="11">
        <v>0</v>
      </c>
      <c r="AA199" s="13">
        <f t="shared" si="57"/>
        <v>199500</v>
      </c>
      <c r="AB199" s="13" t="str">
        <f t="shared" si="44"/>
        <v>B</v>
      </c>
      <c r="AC199" s="15">
        <f>IF(AB199="A",VLOOKUP($G199,'[1]Price Components'!$B:$AC,7,0),IF(AB199="B",VLOOKUP($G199,'[1]Price Components'!$B:$AC,8,0),IF(AB199="C",VLOOKUP($G199,'[1]Price Components'!$B:$AC,9,0),IF(AB199="E",15%,IF(AB199="D",VLOOKUP($G199,'[1]Price Components'!$B:$AC,10,0))))))</f>
        <v>0</v>
      </c>
      <c r="AD199" s="13">
        <f>ROUND(IF(AC199=0,VLOOKUP($G199,'[1]Price Components'!$B:$AC,11,0),IF(I199="BASIC",X199*AC199,AA199*AC199)),0)</f>
        <v>2400</v>
      </c>
      <c r="AE199" s="13">
        <f>ROUND(VLOOKUP($G199,'[1]Price Components'!$B:$AC,12,0),0)</f>
        <v>650</v>
      </c>
      <c r="AF199" s="16">
        <f>VLOOKUP($G199,'[1]Price Components'!$B:$AC,14,0)</f>
        <v>7.92E-3</v>
      </c>
      <c r="AG199" s="16">
        <f>VLOOKUP($G199,'[1]Price Components'!$B:$AC,15,0)</f>
        <v>8.2979999999999998E-3</v>
      </c>
      <c r="AH199" s="13">
        <f t="shared" si="12"/>
        <v>1501</v>
      </c>
      <c r="AI199" s="13">
        <f t="shared" si="13"/>
        <v>7740</v>
      </c>
      <c r="AJ199" s="13">
        <f t="shared" si="14"/>
        <v>1663</v>
      </c>
      <c r="AK199" s="13">
        <f t="shared" si="15"/>
        <v>10904</v>
      </c>
      <c r="AL199" s="13">
        <f t="shared" si="16"/>
        <v>213454</v>
      </c>
      <c r="AM199" s="17"/>
      <c r="AN199" s="18">
        <v>199500</v>
      </c>
      <c r="AO199" s="18">
        <f t="shared" si="17"/>
        <v>0</v>
      </c>
      <c r="AP199" s="18"/>
    </row>
    <row r="200" spans="1:42" ht="15.75" customHeight="1" x14ac:dyDescent="0.3">
      <c r="A200" s="7"/>
      <c r="B200" s="7"/>
      <c r="C200" s="7" t="str">
        <f t="shared" si="0"/>
        <v>VBFV60HG32</v>
      </c>
      <c r="D200" s="7" t="s">
        <v>40</v>
      </c>
      <c r="E200" s="7"/>
      <c r="F200" s="8">
        <v>350</v>
      </c>
      <c r="G200" s="9" t="s">
        <v>72</v>
      </c>
      <c r="H200" s="7" t="str">
        <f>VLOOKUP(G200,'[1]Price Components'!B:C,2,0)</f>
        <v>Pondicherry</v>
      </c>
      <c r="I200" s="7" t="str">
        <f>VLOOKUP(G200,'[1]Price Components'!B:D,3,0)</f>
        <v>EX-SHOWROOM</v>
      </c>
      <c r="J200" s="10">
        <f t="shared" si="1"/>
        <v>4.2497568729151197E-2</v>
      </c>
      <c r="K200" s="11">
        <v>147492</v>
      </c>
      <c r="L200" s="12">
        <f t="shared" si="2"/>
        <v>-151.04560952656902</v>
      </c>
      <c r="M200" s="11">
        <v>147340.95439047343</v>
      </c>
      <c r="N200" s="8">
        <v>1279</v>
      </c>
      <c r="O200" s="13">
        <f>VLOOKUP(G200,'[1]Price Components'!B:E,4,0)</f>
        <v>800</v>
      </c>
      <c r="P200" s="13">
        <f t="shared" si="3"/>
        <v>149420</v>
      </c>
      <c r="Q200" s="14">
        <f>ROUND(IF(F200&lt;500,VLOOKUP(G200,'[1]Price Components'!B:G,5,0),VLOOKUP(G200,'[1]Price Components'!B:G,6,0)),2)</f>
        <v>1535</v>
      </c>
      <c r="R200" s="11">
        <f t="shared" si="4"/>
        <v>8128</v>
      </c>
      <c r="S200" s="13">
        <v>0</v>
      </c>
      <c r="T200" s="11">
        <f t="shared" si="5"/>
        <v>8128</v>
      </c>
      <c r="U200" s="11">
        <v>292</v>
      </c>
      <c r="V200" s="13">
        <f t="shared" si="6"/>
        <v>8420</v>
      </c>
      <c r="W200" s="13">
        <f t="shared" si="7"/>
        <v>191258</v>
      </c>
      <c r="X200" s="13">
        <f t="shared" si="8"/>
        <v>159375</v>
      </c>
      <c r="Y200" s="13">
        <f t="shared" si="9"/>
        <v>44625</v>
      </c>
      <c r="Z200" s="11">
        <v>0</v>
      </c>
      <c r="AA200" s="13">
        <f t="shared" si="57"/>
        <v>204000</v>
      </c>
      <c r="AB200" s="13" t="str">
        <f t="shared" si="44"/>
        <v>C</v>
      </c>
      <c r="AC200" s="15">
        <f>IF(AB200="A",VLOOKUP($G200,'[1]Price Components'!$B:$AC,7,0),IF(AB200="B",VLOOKUP($G200,'[1]Price Components'!$B:$AC,8,0),IF(AB200="C",VLOOKUP($G200,'[1]Price Components'!$B:$AC,9,0),IF(AB200="E",15%,IF(AB200="D",VLOOKUP($G200,'[1]Price Components'!$B:$AC,10,0))))))</f>
        <v>0</v>
      </c>
      <c r="AD200" s="13">
        <f>ROUND(IF(AC200=0,VLOOKUP($G200,'[1]Price Components'!$B:$AC,11,0),IF(I200="BASIC",X200*AC200,AA200*AC200)),0)</f>
        <v>2400</v>
      </c>
      <c r="AE200" s="13">
        <f>ROUND(VLOOKUP($G200,'[1]Price Components'!$B:$AC,12,0),0)</f>
        <v>650</v>
      </c>
      <c r="AF200" s="16">
        <f>VLOOKUP($G200,'[1]Price Components'!$B:$AC,14,0)</f>
        <v>7.92E-3</v>
      </c>
      <c r="AG200" s="16">
        <f>VLOOKUP($G200,'[1]Price Components'!$B:$AC,15,0)</f>
        <v>8.2979999999999998E-3</v>
      </c>
      <c r="AH200" s="13">
        <f t="shared" si="12"/>
        <v>1535</v>
      </c>
      <c r="AI200" s="13">
        <f t="shared" si="13"/>
        <v>7740</v>
      </c>
      <c r="AJ200" s="13">
        <f t="shared" si="14"/>
        <v>1670</v>
      </c>
      <c r="AK200" s="13">
        <f t="shared" si="15"/>
        <v>10945</v>
      </c>
      <c r="AL200" s="13">
        <f t="shared" si="16"/>
        <v>217995</v>
      </c>
      <c r="AM200" s="17"/>
      <c r="AN200" s="18">
        <v>204000</v>
      </c>
      <c r="AO200" s="18">
        <f t="shared" si="17"/>
        <v>0</v>
      </c>
      <c r="AP200" s="18"/>
    </row>
    <row r="201" spans="1:42" ht="15.75" customHeight="1" x14ac:dyDescent="0.3">
      <c r="A201" s="7"/>
      <c r="B201" s="7"/>
      <c r="C201" s="7" t="str">
        <f t="shared" si="0"/>
        <v>VBFV60SE32</v>
      </c>
      <c r="D201" s="7" t="s">
        <v>41</v>
      </c>
      <c r="E201" s="7"/>
      <c r="F201" s="8">
        <v>350</v>
      </c>
      <c r="G201" s="9" t="s">
        <v>72</v>
      </c>
      <c r="H201" s="7" t="str">
        <f>VLOOKUP(G201,'[1]Price Components'!B:C,2,0)</f>
        <v>Pondicherry</v>
      </c>
      <c r="I201" s="7" t="str">
        <f>VLOOKUP(G201,'[1]Price Components'!B:D,3,0)</f>
        <v>EX-SHOWROOM</v>
      </c>
      <c r="J201" s="10">
        <f t="shared" si="1"/>
        <v>4.2499432485516041E-2</v>
      </c>
      <c r="K201" s="11">
        <v>156384</v>
      </c>
      <c r="L201" s="12">
        <f t="shared" si="2"/>
        <v>-151.86508763619349</v>
      </c>
      <c r="M201" s="11">
        <v>156232.13491236381</v>
      </c>
      <c r="N201" s="8">
        <v>1279</v>
      </c>
      <c r="O201" s="13">
        <f>VLOOKUP(G201,'[1]Price Components'!B:E,4,0)</f>
        <v>800</v>
      </c>
      <c r="P201" s="13">
        <f t="shared" si="3"/>
        <v>158311</v>
      </c>
      <c r="Q201" s="14">
        <f>ROUND(IF(F201&lt;500,VLOOKUP(G201,'[1]Price Components'!B:G,5,0),VLOOKUP(G201,'[1]Price Components'!B:G,6,0)),2)</f>
        <v>1535</v>
      </c>
      <c r="R201" s="11">
        <f t="shared" si="4"/>
        <v>8612</v>
      </c>
      <c r="S201" s="13">
        <v>0</v>
      </c>
      <c r="T201" s="11">
        <f t="shared" si="5"/>
        <v>8612</v>
      </c>
      <c r="U201" s="11">
        <v>292</v>
      </c>
      <c r="V201" s="13">
        <f t="shared" si="6"/>
        <v>8904</v>
      </c>
      <c r="W201" s="13">
        <f t="shared" si="7"/>
        <v>202638</v>
      </c>
      <c r="X201" s="13">
        <f t="shared" si="8"/>
        <v>168750</v>
      </c>
      <c r="Y201" s="13">
        <f t="shared" si="9"/>
        <v>47250</v>
      </c>
      <c r="Z201" s="11">
        <v>0</v>
      </c>
      <c r="AA201" s="13">
        <f t="shared" si="57"/>
        <v>216000</v>
      </c>
      <c r="AB201" s="13" t="str">
        <f t="shared" si="44"/>
        <v>C</v>
      </c>
      <c r="AC201" s="15">
        <f>IF(AB201="A",VLOOKUP($G201,'[1]Price Components'!$B:$AC,7,0),IF(AB201="B",VLOOKUP($G201,'[1]Price Components'!$B:$AC,8,0),IF(AB201="C",VLOOKUP($G201,'[1]Price Components'!$B:$AC,9,0),IF(AB201="E",15%,IF(AB201="D",VLOOKUP($G201,'[1]Price Components'!$B:$AC,10,0))))))</f>
        <v>0</v>
      </c>
      <c r="AD201" s="13">
        <f>ROUND(IF(AC201=0,VLOOKUP($G201,'[1]Price Components'!$B:$AC,11,0),IF(I201="BASIC",X201*AC201,AA201*AC201)),0)</f>
        <v>2400</v>
      </c>
      <c r="AE201" s="13">
        <f>ROUND(VLOOKUP($G201,'[1]Price Components'!$B:$AC,12,0),0)</f>
        <v>650</v>
      </c>
      <c r="AF201" s="16">
        <f>VLOOKUP($G201,'[1]Price Components'!$B:$AC,14,0)</f>
        <v>7.92E-3</v>
      </c>
      <c r="AG201" s="16">
        <f>VLOOKUP($G201,'[1]Price Components'!$B:$AC,15,0)</f>
        <v>8.2979999999999998E-3</v>
      </c>
      <c r="AH201" s="13">
        <f t="shared" si="12"/>
        <v>1625</v>
      </c>
      <c r="AI201" s="13">
        <f t="shared" si="13"/>
        <v>7740</v>
      </c>
      <c r="AJ201" s="13">
        <f t="shared" si="14"/>
        <v>1686</v>
      </c>
      <c r="AK201" s="13">
        <f t="shared" si="15"/>
        <v>11051</v>
      </c>
      <c r="AL201" s="13">
        <f t="shared" si="16"/>
        <v>230101</v>
      </c>
      <c r="AM201" s="17"/>
      <c r="AN201" s="18">
        <v>216000</v>
      </c>
      <c r="AO201" s="18">
        <f t="shared" si="17"/>
        <v>0</v>
      </c>
      <c r="AP201" s="18"/>
    </row>
    <row r="202" spans="1:42" ht="15.75" customHeight="1" x14ac:dyDescent="0.3">
      <c r="A202" s="7"/>
      <c r="B202" s="7"/>
      <c r="C202" s="7" t="str">
        <f t="shared" si="0"/>
        <v>VBFV60GM32</v>
      </c>
      <c r="D202" s="7" t="s">
        <v>42</v>
      </c>
      <c r="E202" s="7"/>
      <c r="F202" s="8">
        <v>350</v>
      </c>
      <c r="G202" s="9" t="s">
        <v>72</v>
      </c>
      <c r="H202" s="7" t="str">
        <f>VLOOKUP(G202,'[1]Price Components'!B:C,2,0)</f>
        <v>Pondicherry</v>
      </c>
      <c r="I202" s="7" t="str">
        <f>VLOOKUP(G202,'[1]Price Components'!B:D,3,0)</f>
        <v>EX-SHOWROOM</v>
      </c>
      <c r="J202" s="10">
        <f t="shared" si="1"/>
        <v>4.2500698479445764E-2</v>
      </c>
      <c r="K202" s="11">
        <v>163052</v>
      </c>
      <c r="L202" s="12">
        <f t="shared" si="2"/>
        <v>-151.8654175029078</v>
      </c>
      <c r="M202" s="11">
        <v>162900.13458249709</v>
      </c>
      <c r="N202" s="8">
        <v>1279</v>
      </c>
      <c r="O202" s="13">
        <f>VLOOKUP(G202,'[1]Price Components'!B:E,4,0)</f>
        <v>800</v>
      </c>
      <c r="P202" s="13">
        <f t="shared" si="3"/>
        <v>164979</v>
      </c>
      <c r="Q202" s="14">
        <f>ROUND(IF(F202&lt;500,VLOOKUP(G202,'[1]Price Components'!B:G,5,0),VLOOKUP(G202,'[1]Price Components'!B:G,6,0)),2)</f>
        <v>1535</v>
      </c>
      <c r="R202" s="11">
        <f t="shared" si="4"/>
        <v>8975</v>
      </c>
      <c r="S202" s="13">
        <v>0</v>
      </c>
      <c r="T202" s="11">
        <f t="shared" si="5"/>
        <v>8975</v>
      </c>
      <c r="U202" s="11">
        <v>292</v>
      </c>
      <c r="V202" s="13">
        <f t="shared" si="6"/>
        <v>9267</v>
      </c>
      <c r="W202" s="13">
        <f t="shared" si="7"/>
        <v>211173</v>
      </c>
      <c r="X202" s="13">
        <f t="shared" si="8"/>
        <v>175781</v>
      </c>
      <c r="Y202" s="13">
        <f t="shared" si="9"/>
        <v>49219</v>
      </c>
      <c r="Z202" s="11">
        <v>0</v>
      </c>
      <c r="AA202" s="13">
        <f t="shared" si="57"/>
        <v>225000</v>
      </c>
      <c r="AB202" s="13" t="str">
        <f t="shared" si="44"/>
        <v>C</v>
      </c>
      <c r="AC202" s="15">
        <f>IF(AB202="A",VLOOKUP($G202,'[1]Price Components'!$B:$AC,7,0),IF(AB202="B",VLOOKUP($G202,'[1]Price Components'!$B:$AC,8,0),IF(AB202="C",VLOOKUP($G202,'[1]Price Components'!$B:$AC,9,0),IF(AB202="E",15%,IF(AB202="D",VLOOKUP($G202,'[1]Price Components'!$B:$AC,10,0))))))</f>
        <v>0</v>
      </c>
      <c r="AD202" s="13">
        <f>ROUND(IF(AC202=0,VLOOKUP($G202,'[1]Price Components'!$B:$AC,11,0),IF(I202="BASIC",X202*AC202,AA202*AC202)),0)</f>
        <v>2400</v>
      </c>
      <c r="AE202" s="13">
        <f>ROUND(VLOOKUP($G202,'[1]Price Components'!$B:$AC,12,0),0)</f>
        <v>650</v>
      </c>
      <c r="AF202" s="16">
        <f>VLOOKUP($G202,'[1]Price Components'!$B:$AC,14,0)</f>
        <v>7.92E-3</v>
      </c>
      <c r="AG202" s="16">
        <f>VLOOKUP($G202,'[1]Price Components'!$B:$AC,15,0)</f>
        <v>8.2979999999999998E-3</v>
      </c>
      <c r="AH202" s="13">
        <f t="shared" si="12"/>
        <v>1693</v>
      </c>
      <c r="AI202" s="13">
        <f t="shared" si="13"/>
        <v>7740</v>
      </c>
      <c r="AJ202" s="13">
        <f t="shared" si="14"/>
        <v>1698</v>
      </c>
      <c r="AK202" s="13">
        <f t="shared" si="15"/>
        <v>11131</v>
      </c>
      <c r="AL202" s="13">
        <f t="shared" si="16"/>
        <v>239181</v>
      </c>
      <c r="AM202" s="17"/>
      <c r="AN202" s="18">
        <v>225000</v>
      </c>
      <c r="AO202" s="18">
        <f t="shared" si="17"/>
        <v>0</v>
      </c>
      <c r="AP202" s="18"/>
    </row>
    <row r="203" spans="1:42" ht="15.75" customHeight="1" x14ac:dyDescent="0.3">
      <c r="A203" s="7"/>
      <c r="B203" s="7"/>
      <c r="C203" s="7" t="str">
        <f t="shared" si="0"/>
        <v>VBFV60SB32</v>
      </c>
      <c r="D203" s="7" t="s">
        <v>43</v>
      </c>
      <c r="E203" s="7"/>
      <c r="F203" s="8">
        <v>350</v>
      </c>
      <c r="G203" s="9" t="s">
        <v>72</v>
      </c>
      <c r="H203" s="7" t="str">
        <f>VLOOKUP(G203,'[1]Price Components'!B:C,2,0)</f>
        <v>Pondicherry</v>
      </c>
      <c r="I203" s="7" t="str">
        <f>VLOOKUP(G203,'[1]Price Components'!B:D,3,0)</f>
        <v>EX-SHOWROOM</v>
      </c>
      <c r="J203" s="10">
        <f t="shared" si="1"/>
        <v>4.2500698479445764E-2</v>
      </c>
      <c r="K203" s="11">
        <v>163052</v>
      </c>
      <c r="L203" s="12">
        <f t="shared" si="2"/>
        <v>-151.8654175029078</v>
      </c>
      <c r="M203" s="11">
        <v>162900.13458249709</v>
      </c>
      <c r="N203" s="8">
        <v>1279</v>
      </c>
      <c r="O203" s="13">
        <f>VLOOKUP(G203,'[1]Price Components'!B:E,4,0)</f>
        <v>800</v>
      </c>
      <c r="P203" s="13">
        <f t="shared" si="3"/>
        <v>164979</v>
      </c>
      <c r="Q203" s="14">
        <f>ROUND(IF(F203&lt;500,VLOOKUP(G203,'[1]Price Components'!B:G,5,0),VLOOKUP(G203,'[1]Price Components'!B:G,6,0)),2)</f>
        <v>1535</v>
      </c>
      <c r="R203" s="11">
        <f t="shared" si="4"/>
        <v>8975</v>
      </c>
      <c r="S203" s="13">
        <v>0</v>
      </c>
      <c r="T203" s="11">
        <f t="shared" si="5"/>
        <v>8975</v>
      </c>
      <c r="U203" s="11">
        <v>292</v>
      </c>
      <c r="V203" s="13">
        <f t="shared" si="6"/>
        <v>9267</v>
      </c>
      <c r="W203" s="13">
        <f t="shared" si="7"/>
        <v>211173</v>
      </c>
      <c r="X203" s="13">
        <f t="shared" si="8"/>
        <v>175781</v>
      </c>
      <c r="Y203" s="13">
        <f t="shared" si="9"/>
        <v>49219</v>
      </c>
      <c r="Z203" s="11">
        <v>0</v>
      </c>
      <c r="AA203" s="13">
        <f t="shared" si="57"/>
        <v>225000</v>
      </c>
      <c r="AB203" s="13" t="str">
        <f t="shared" si="44"/>
        <v>C</v>
      </c>
      <c r="AC203" s="15">
        <f>IF(AB203="A",VLOOKUP($G203,'[1]Price Components'!$B:$AC,7,0),IF(AB203="B",VLOOKUP($G203,'[1]Price Components'!$B:$AC,8,0),IF(AB203="C",VLOOKUP($G203,'[1]Price Components'!$B:$AC,9,0),IF(AB203="E",15%,IF(AB203="D",VLOOKUP($G203,'[1]Price Components'!$B:$AC,10,0))))))</f>
        <v>0</v>
      </c>
      <c r="AD203" s="13">
        <f>ROUND(IF(AC203=0,VLOOKUP($G203,'[1]Price Components'!$B:$AC,11,0),IF(I203="BASIC",X203*AC203,AA203*AC203)),0)</f>
        <v>2400</v>
      </c>
      <c r="AE203" s="13">
        <f>ROUND(VLOOKUP($G203,'[1]Price Components'!$B:$AC,12,0),0)</f>
        <v>650</v>
      </c>
      <c r="AF203" s="16">
        <f>VLOOKUP($G203,'[1]Price Components'!$B:$AC,14,0)</f>
        <v>7.92E-3</v>
      </c>
      <c r="AG203" s="16">
        <f>VLOOKUP($G203,'[1]Price Components'!$B:$AC,15,0)</f>
        <v>8.2979999999999998E-3</v>
      </c>
      <c r="AH203" s="13">
        <f t="shared" si="12"/>
        <v>1693</v>
      </c>
      <c r="AI203" s="13">
        <f t="shared" si="13"/>
        <v>7740</v>
      </c>
      <c r="AJ203" s="13">
        <f t="shared" si="14"/>
        <v>1698</v>
      </c>
      <c r="AK203" s="13">
        <f t="shared" si="15"/>
        <v>11131</v>
      </c>
      <c r="AL203" s="13">
        <f t="shared" si="16"/>
        <v>239181</v>
      </c>
      <c r="AM203" s="17"/>
      <c r="AN203" s="18">
        <v>225000</v>
      </c>
      <c r="AO203" s="18">
        <f t="shared" si="17"/>
        <v>0</v>
      </c>
      <c r="AP203" s="18"/>
    </row>
    <row r="204" spans="1:42" ht="15.75" customHeight="1" x14ac:dyDescent="0.3">
      <c r="A204" s="7"/>
      <c r="B204" s="7"/>
      <c r="C204" s="7" t="str">
        <f t="shared" si="0"/>
        <v>VBFV60DN32</v>
      </c>
      <c r="D204" s="7" t="s">
        <v>44</v>
      </c>
      <c r="E204" s="7"/>
      <c r="F204" s="8">
        <v>350</v>
      </c>
      <c r="G204" s="9" t="s">
        <v>72</v>
      </c>
      <c r="H204" s="7" t="str">
        <f>VLOOKUP(G204,'[1]Price Components'!B:C,2,0)</f>
        <v>Pondicherry</v>
      </c>
      <c r="I204" s="7" t="str">
        <f>VLOOKUP(G204,'[1]Price Components'!B:D,3,0)</f>
        <v>EX-SHOWROOM</v>
      </c>
      <c r="J204" s="10">
        <f t="shared" si="1"/>
        <v>4.2498008484781122E-2</v>
      </c>
      <c r="K204" s="11">
        <v>166757</v>
      </c>
      <c r="L204" s="12">
        <f t="shared" si="2"/>
        <v>-151.86697562393965</v>
      </c>
      <c r="M204" s="11">
        <v>166605.13302437606</v>
      </c>
      <c r="N204" s="8">
        <v>1279</v>
      </c>
      <c r="O204" s="13">
        <f>VLOOKUP(G204,'[1]Price Components'!B:E,4,0)</f>
        <v>800</v>
      </c>
      <c r="P204" s="13">
        <f t="shared" si="3"/>
        <v>168684</v>
      </c>
      <c r="Q204" s="14">
        <f>ROUND(IF(F204&lt;500,VLOOKUP(G204,'[1]Price Components'!B:G,5,0),VLOOKUP(G204,'[1]Price Components'!B:G,6,0)),2)</f>
        <v>1535</v>
      </c>
      <c r="R204" s="11">
        <f t="shared" si="4"/>
        <v>9176</v>
      </c>
      <c r="S204" s="13">
        <v>0</v>
      </c>
      <c r="T204" s="11">
        <f t="shared" si="5"/>
        <v>9176</v>
      </c>
      <c r="U204" s="11">
        <v>292</v>
      </c>
      <c r="V204" s="13">
        <f t="shared" si="6"/>
        <v>9468</v>
      </c>
      <c r="W204" s="13">
        <f t="shared" si="7"/>
        <v>215916</v>
      </c>
      <c r="X204" s="13">
        <f t="shared" si="8"/>
        <v>179687</v>
      </c>
      <c r="Y204" s="13">
        <f t="shared" si="9"/>
        <v>50312</v>
      </c>
      <c r="Z204" s="11">
        <v>0</v>
      </c>
      <c r="AA204" s="13">
        <f>ROUND(X204+Y204+Z204,0)+1</f>
        <v>230000</v>
      </c>
      <c r="AB204" s="13" t="str">
        <f t="shared" si="44"/>
        <v>C</v>
      </c>
      <c r="AC204" s="15">
        <f>IF(AB204="A",VLOOKUP($G204,'[1]Price Components'!$B:$AC,7,0),IF(AB204="B",VLOOKUP($G204,'[1]Price Components'!$B:$AC,8,0),IF(AB204="C",VLOOKUP($G204,'[1]Price Components'!$B:$AC,9,0),IF(AB204="E",15%,IF(AB204="D",VLOOKUP($G204,'[1]Price Components'!$B:$AC,10,0))))))</f>
        <v>0</v>
      </c>
      <c r="AD204" s="13">
        <f>ROUND(IF(AC204=0,VLOOKUP($G204,'[1]Price Components'!$B:$AC,11,0),IF(I204="BASIC",X204*AC204,AA204*AC204)),0)</f>
        <v>2400</v>
      </c>
      <c r="AE204" s="13">
        <f>ROUND(VLOOKUP($G204,'[1]Price Components'!$B:$AC,12,0),0)</f>
        <v>650</v>
      </c>
      <c r="AF204" s="16">
        <f>VLOOKUP($G204,'[1]Price Components'!$B:$AC,14,0)</f>
        <v>7.92E-3</v>
      </c>
      <c r="AG204" s="16">
        <f>VLOOKUP($G204,'[1]Price Components'!$B:$AC,15,0)</f>
        <v>8.2979999999999998E-3</v>
      </c>
      <c r="AH204" s="13">
        <f t="shared" si="12"/>
        <v>1731</v>
      </c>
      <c r="AI204" s="13">
        <f t="shared" si="13"/>
        <v>7740</v>
      </c>
      <c r="AJ204" s="13">
        <f t="shared" si="14"/>
        <v>1705</v>
      </c>
      <c r="AK204" s="13">
        <f t="shared" si="15"/>
        <v>11176</v>
      </c>
      <c r="AL204" s="13">
        <f t="shared" si="16"/>
        <v>244226</v>
      </c>
      <c r="AM204" s="17"/>
      <c r="AN204" s="18">
        <v>230000</v>
      </c>
      <c r="AO204" s="18">
        <f t="shared" si="17"/>
        <v>0</v>
      </c>
      <c r="AP204" s="18"/>
    </row>
    <row r="205" spans="1:42" ht="15.75" customHeight="1" x14ac:dyDescent="0.3">
      <c r="A205" s="7"/>
      <c r="B205" s="7"/>
      <c r="C205" s="7" t="str">
        <f t="shared" si="0"/>
        <v>VBFV60RR33</v>
      </c>
      <c r="D205" s="7" t="s">
        <v>37</v>
      </c>
      <c r="E205" s="7"/>
      <c r="F205" s="8">
        <v>350</v>
      </c>
      <c r="G205" s="9" t="s">
        <v>73</v>
      </c>
      <c r="H205" s="7" t="str">
        <f>VLOOKUP(G205,'[1]Price Components'!B:C,2,0)</f>
        <v>Chhattisgarh</v>
      </c>
      <c r="I205" s="7" t="str">
        <f>VLOOKUP(G205,'[1]Price Components'!B:D,3,0)</f>
        <v>EX-SHOWROOM</v>
      </c>
      <c r="J205" s="10">
        <f t="shared" si="1"/>
        <v>4.2498369559406841E-2</v>
      </c>
      <c r="K205" s="11">
        <v>144158</v>
      </c>
      <c r="L205" s="12">
        <f t="shared" si="2"/>
        <v>-581.58984375</v>
      </c>
      <c r="M205" s="11">
        <v>143576.41015625</v>
      </c>
      <c r="N205" s="8">
        <v>1279</v>
      </c>
      <c r="O205" s="13">
        <f>VLOOKUP(G205,'[1]Price Components'!B:E,4,0)</f>
        <v>1290</v>
      </c>
      <c r="P205" s="13">
        <f t="shared" si="3"/>
        <v>146145</v>
      </c>
      <c r="Q205" s="14">
        <f>ROUND(IF(F205&lt;500,VLOOKUP(G205,'[1]Price Components'!B:G,5,0),VLOOKUP(G205,'[1]Price Components'!B:G,6,0)),2)</f>
        <v>1472</v>
      </c>
      <c r="R205" s="11">
        <f t="shared" si="4"/>
        <v>7950</v>
      </c>
      <c r="S205" s="13">
        <v>0</v>
      </c>
      <c r="T205" s="11">
        <f t="shared" si="5"/>
        <v>7950</v>
      </c>
      <c r="U205" s="11">
        <v>292</v>
      </c>
      <c r="V205" s="13">
        <f t="shared" si="6"/>
        <v>8242</v>
      </c>
      <c r="W205" s="13">
        <f t="shared" si="7"/>
        <v>187066</v>
      </c>
      <c r="X205" s="13">
        <f t="shared" si="8"/>
        <v>155859</v>
      </c>
      <c r="Y205" s="13">
        <f t="shared" si="9"/>
        <v>43641</v>
      </c>
      <c r="Z205" s="11">
        <v>0</v>
      </c>
      <c r="AA205" s="13">
        <f t="shared" ref="AA205:AA210" si="58">ROUND(X205+Y205+Z205,0)</f>
        <v>199500</v>
      </c>
      <c r="AB205" s="13" t="str">
        <f t="shared" si="44"/>
        <v>B</v>
      </c>
      <c r="AC205" s="15">
        <f>IF(AB205="A",VLOOKUP($G205,'[1]Price Components'!$B:$AC,7,0),IF(AB205="B",VLOOKUP($G205,'[1]Price Components'!$B:$AC,8,0),IF(AB205="C",VLOOKUP($G205,'[1]Price Components'!$B:$AC,9,0),IF(AB205="E",15%,IF(AB205="D",VLOOKUP($G205,'[1]Price Components'!$B:$AC,10,0))))))</f>
        <v>0.08</v>
      </c>
      <c r="AD205" s="13">
        <f>ROUND(IF(AC205=0,VLOOKUP($G205,'[1]Price Components'!$B:$AC,11,0),IF(I205="BASIC",X205*AC205,AA205*AC205)),0)</f>
        <v>15960</v>
      </c>
      <c r="AE205" s="13">
        <f>ROUND(VLOOKUP($G205,'[1]Price Components'!$B:$AC,12,0),0)</f>
        <v>1580</v>
      </c>
      <c r="AF205" s="16">
        <f>VLOOKUP($G205,'[1]Price Components'!$B:$AC,14,0)</f>
        <v>7.92E-3</v>
      </c>
      <c r="AG205" s="16">
        <f>VLOOKUP($G205,'[1]Price Components'!$B:$AC,15,0)</f>
        <v>8.2979999999999998E-3</v>
      </c>
      <c r="AH205" s="13">
        <f t="shared" si="12"/>
        <v>1501</v>
      </c>
      <c r="AI205" s="13">
        <f t="shared" si="13"/>
        <v>7740</v>
      </c>
      <c r="AJ205" s="13">
        <f t="shared" si="14"/>
        <v>1663</v>
      </c>
      <c r="AK205" s="13">
        <f t="shared" si="15"/>
        <v>10904</v>
      </c>
      <c r="AL205" s="13">
        <f t="shared" si="16"/>
        <v>227944</v>
      </c>
      <c r="AM205" s="17"/>
      <c r="AN205" s="18">
        <v>199500</v>
      </c>
      <c r="AO205" s="18">
        <f t="shared" si="17"/>
        <v>0</v>
      </c>
      <c r="AP205" s="18"/>
    </row>
    <row r="206" spans="1:42" ht="15.75" customHeight="1" x14ac:dyDescent="0.3">
      <c r="A206" s="7"/>
      <c r="B206" s="7"/>
      <c r="C206" s="7" t="str">
        <f t="shared" si="0"/>
        <v>VBFV60EB33</v>
      </c>
      <c r="D206" s="7" t="s">
        <v>39</v>
      </c>
      <c r="E206" s="7"/>
      <c r="F206" s="8">
        <v>350</v>
      </c>
      <c r="G206" s="9" t="s">
        <v>73</v>
      </c>
      <c r="H206" s="7" t="str">
        <f>VLOOKUP(G206,'[1]Price Components'!B:C,2,0)</f>
        <v>Chhattisgarh</v>
      </c>
      <c r="I206" s="7" t="str">
        <f>VLOOKUP(G206,'[1]Price Components'!B:D,3,0)</f>
        <v>EX-SHOWROOM</v>
      </c>
      <c r="J206" s="10">
        <f t="shared" si="1"/>
        <v>4.2498369559406841E-2</v>
      </c>
      <c r="K206" s="11">
        <v>144158</v>
      </c>
      <c r="L206" s="12">
        <f t="shared" si="2"/>
        <v>-581.58984375</v>
      </c>
      <c r="M206" s="11">
        <v>143576.41015625</v>
      </c>
      <c r="N206" s="8">
        <v>1279</v>
      </c>
      <c r="O206" s="13">
        <f>VLOOKUP(G206,'[1]Price Components'!B:E,4,0)</f>
        <v>1290</v>
      </c>
      <c r="P206" s="13">
        <f t="shared" si="3"/>
        <v>146145</v>
      </c>
      <c r="Q206" s="14">
        <f>ROUND(IF(F206&lt;500,VLOOKUP(G206,'[1]Price Components'!B:G,5,0),VLOOKUP(G206,'[1]Price Components'!B:G,6,0)),2)</f>
        <v>1472</v>
      </c>
      <c r="R206" s="11">
        <f t="shared" si="4"/>
        <v>7950</v>
      </c>
      <c r="S206" s="13">
        <v>0</v>
      </c>
      <c r="T206" s="11">
        <f t="shared" si="5"/>
        <v>7950</v>
      </c>
      <c r="U206" s="11">
        <v>292</v>
      </c>
      <c r="V206" s="13">
        <f t="shared" si="6"/>
        <v>8242</v>
      </c>
      <c r="W206" s="13">
        <f t="shared" si="7"/>
        <v>187066</v>
      </c>
      <c r="X206" s="13">
        <f t="shared" si="8"/>
        <v>155859</v>
      </c>
      <c r="Y206" s="13">
        <f t="shared" si="9"/>
        <v>43641</v>
      </c>
      <c r="Z206" s="11">
        <v>0</v>
      </c>
      <c r="AA206" s="13">
        <f t="shared" si="58"/>
        <v>199500</v>
      </c>
      <c r="AB206" s="13" t="str">
        <f t="shared" si="44"/>
        <v>B</v>
      </c>
      <c r="AC206" s="15">
        <f>IF(AB206="A",VLOOKUP($G206,'[1]Price Components'!$B:$AC,7,0),IF(AB206="B",VLOOKUP($G206,'[1]Price Components'!$B:$AC,8,0),IF(AB206="C",VLOOKUP($G206,'[1]Price Components'!$B:$AC,9,0),IF(AB206="E",15%,IF(AB206="D",VLOOKUP($G206,'[1]Price Components'!$B:$AC,10,0))))))</f>
        <v>0.08</v>
      </c>
      <c r="AD206" s="13">
        <f>ROUND(IF(AC206=0,VLOOKUP($G206,'[1]Price Components'!$B:$AC,11,0),IF(I206="BASIC",X206*AC206,AA206*AC206)),0)</f>
        <v>15960</v>
      </c>
      <c r="AE206" s="13">
        <f>ROUND(VLOOKUP($G206,'[1]Price Components'!$B:$AC,12,0),0)</f>
        <v>1580</v>
      </c>
      <c r="AF206" s="16">
        <f>VLOOKUP($G206,'[1]Price Components'!$B:$AC,14,0)</f>
        <v>7.92E-3</v>
      </c>
      <c r="AG206" s="16">
        <f>VLOOKUP($G206,'[1]Price Components'!$B:$AC,15,0)</f>
        <v>8.2979999999999998E-3</v>
      </c>
      <c r="AH206" s="13">
        <f t="shared" si="12"/>
        <v>1501</v>
      </c>
      <c r="AI206" s="13">
        <f t="shared" si="13"/>
        <v>7740</v>
      </c>
      <c r="AJ206" s="13">
        <f t="shared" si="14"/>
        <v>1663</v>
      </c>
      <c r="AK206" s="13">
        <f t="shared" si="15"/>
        <v>10904</v>
      </c>
      <c r="AL206" s="13">
        <f t="shared" si="16"/>
        <v>227944</v>
      </c>
      <c r="AM206" s="17"/>
      <c r="AN206" s="18">
        <v>199500</v>
      </c>
      <c r="AO206" s="18">
        <f t="shared" si="17"/>
        <v>0</v>
      </c>
      <c r="AP206" s="18"/>
    </row>
    <row r="207" spans="1:42" ht="15.75" customHeight="1" x14ac:dyDescent="0.3">
      <c r="A207" s="7"/>
      <c r="B207" s="7"/>
      <c r="C207" s="7" t="str">
        <f t="shared" si="0"/>
        <v>VBFV60HG33</v>
      </c>
      <c r="D207" s="7" t="s">
        <v>40</v>
      </c>
      <c r="E207" s="7"/>
      <c r="F207" s="8">
        <v>350</v>
      </c>
      <c r="G207" s="9" t="s">
        <v>73</v>
      </c>
      <c r="H207" s="7" t="str">
        <f>VLOOKUP(G207,'[1]Price Components'!B:C,2,0)</f>
        <v>Chhattisgarh</v>
      </c>
      <c r="I207" s="7" t="str">
        <f>VLOOKUP(G207,'[1]Price Components'!B:D,3,0)</f>
        <v>EX-SHOWROOM</v>
      </c>
      <c r="J207" s="10">
        <f t="shared" si="1"/>
        <v>4.2501816205254714E-2</v>
      </c>
      <c r="K207" s="11">
        <v>147492</v>
      </c>
      <c r="L207" s="12">
        <f t="shared" si="2"/>
        <v>-581.52295328982291</v>
      </c>
      <c r="M207" s="11">
        <v>146910.47704671018</v>
      </c>
      <c r="N207" s="8">
        <v>1279</v>
      </c>
      <c r="O207" s="13">
        <f>VLOOKUP(G207,'[1]Price Components'!B:E,4,0)</f>
        <v>1290</v>
      </c>
      <c r="P207" s="13">
        <f t="shared" si="3"/>
        <v>149479</v>
      </c>
      <c r="Q207" s="14">
        <f>ROUND(IF(F207&lt;500,VLOOKUP(G207,'[1]Price Components'!B:G,5,0),VLOOKUP(G207,'[1]Price Components'!B:G,6,0)),2)</f>
        <v>1472</v>
      </c>
      <c r="R207" s="11">
        <f t="shared" si="4"/>
        <v>8132</v>
      </c>
      <c r="S207" s="13">
        <v>0</v>
      </c>
      <c r="T207" s="11">
        <f t="shared" si="5"/>
        <v>8132</v>
      </c>
      <c r="U207" s="11">
        <v>292</v>
      </c>
      <c r="V207" s="13">
        <f t="shared" si="6"/>
        <v>8424</v>
      </c>
      <c r="W207" s="13">
        <f t="shared" si="7"/>
        <v>191333</v>
      </c>
      <c r="X207" s="13">
        <f t="shared" si="8"/>
        <v>159375</v>
      </c>
      <c r="Y207" s="13">
        <f t="shared" si="9"/>
        <v>44625</v>
      </c>
      <c r="Z207" s="11">
        <v>0</v>
      </c>
      <c r="AA207" s="13">
        <f t="shared" si="58"/>
        <v>204000</v>
      </c>
      <c r="AB207" s="13" t="str">
        <f t="shared" si="44"/>
        <v>C</v>
      </c>
      <c r="AC207" s="15">
        <f>IF(AB207="A",VLOOKUP($G207,'[1]Price Components'!$B:$AC,7,0),IF(AB207="B",VLOOKUP($G207,'[1]Price Components'!$B:$AC,8,0),IF(AB207="C",VLOOKUP($G207,'[1]Price Components'!$B:$AC,9,0),IF(AB207="E",15%,IF(AB207="D",VLOOKUP($G207,'[1]Price Components'!$B:$AC,10,0))))))</f>
        <v>0.08</v>
      </c>
      <c r="AD207" s="13">
        <f>ROUND(IF(AC207=0,VLOOKUP($G207,'[1]Price Components'!$B:$AC,11,0),IF(I207="BASIC",X207*AC207,AA207*AC207)),0)</f>
        <v>16320</v>
      </c>
      <c r="AE207" s="13">
        <f>ROUND(VLOOKUP($G207,'[1]Price Components'!$B:$AC,12,0),0)</f>
        <v>1580</v>
      </c>
      <c r="AF207" s="16">
        <f>VLOOKUP($G207,'[1]Price Components'!$B:$AC,14,0)</f>
        <v>7.92E-3</v>
      </c>
      <c r="AG207" s="16">
        <f>VLOOKUP($G207,'[1]Price Components'!$B:$AC,15,0)</f>
        <v>8.2979999999999998E-3</v>
      </c>
      <c r="AH207" s="13">
        <f t="shared" si="12"/>
        <v>1535</v>
      </c>
      <c r="AI207" s="13">
        <f t="shared" si="13"/>
        <v>7740</v>
      </c>
      <c r="AJ207" s="13">
        <f t="shared" si="14"/>
        <v>1670</v>
      </c>
      <c r="AK207" s="13">
        <f t="shared" si="15"/>
        <v>10945</v>
      </c>
      <c r="AL207" s="13">
        <f t="shared" si="16"/>
        <v>232845</v>
      </c>
      <c r="AM207" s="17"/>
      <c r="AN207" s="18">
        <v>204000</v>
      </c>
      <c r="AO207" s="18">
        <f t="shared" si="17"/>
        <v>0</v>
      </c>
      <c r="AP207" s="18"/>
    </row>
    <row r="208" spans="1:42" ht="15.75" customHeight="1" x14ac:dyDescent="0.3">
      <c r="A208" s="7"/>
      <c r="B208" s="7"/>
      <c r="C208" s="7" t="str">
        <f t="shared" si="0"/>
        <v>VBFV60SE33</v>
      </c>
      <c r="D208" s="7" t="s">
        <v>41</v>
      </c>
      <c r="E208" s="7"/>
      <c r="F208" s="8">
        <v>350</v>
      </c>
      <c r="G208" s="9" t="s">
        <v>73</v>
      </c>
      <c r="H208" s="7" t="str">
        <f>VLOOKUP(G208,'[1]Price Components'!B:C,2,0)</f>
        <v>Chhattisgarh</v>
      </c>
      <c r="I208" s="7" t="str">
        <f>VLOOKUP(G208,'[1]Price Components'!B:D,3,0)</f>
        <v>EX-SHOWROOM</v>
      </c>
      <c r="J208" s="10">
        <f t="shared" si="1"/>
        <v>4.2498088449300746E-2</v>
      </c>
      <c r="K208" s="11">
        <v>156384</v>
      </c>
      <c r="L208" s="12">
        <f t="shared" si="2"/>
        <v>-582.27297015633667</v>
      </c>
      <c r="M208" s="11">
        <v>155801.72702984366</v>
      </c>
      <c r="N208" s="8">
        <v>1279</v>
      </c>
      <c r="O208" s="13">
        <f>VLOOKUP(G208,'[1]Price Components'!B:E,4,0)</f>
        <v>1290</v>
      </c>
      <c r="P208" s="13">
        <f t="shared" si="3"/>
        <v>158371</v>
      </c>
      <c r="Q208" s="14">
        <f>ROUND(IF(F208&lt;500,VLOOKUP(G208,'[1]Price Components'!B:G,5,0),VLOOKUP(G208,'[1]Price Components'!B:G,6,0)),2)</f>
        <v>1472</v>
      </c>
      <c r="R208" s="11">
        <f t="shared" si="4"/>
        <v>8615</v>
      </c>
      <c r="S208" s="13">
        <v>0</v>
      </c>
      <c r="T208" s="11">
        <f t="shared" si="5"/>
        <v>8615</v>
      </c>
      <c r="U208" s="11">
        <v>292</v>
      </c>
      <c r="V208" s="13">
        <f t="shared" si="6"/>
        <v>8907</v>
      </c>
      <c r="W208" s="13">
        <f t="shared" si="7"/>
        <v>202715</v>
      </c>
      <c r="X208" s="13">
        <f t="shared" si="8"/>
        <v>168750</v>
      </c>
      <c r="Y208" s="13">
        <f t="shared" si="9"/>
        <v>47250</v>
      </c>
      <c r="Z208" s="11">
        <v>0</v>
      </c>
      <c r="AA208" s="13">
        <f t="shared" si="58"/>
        <v>216000</v>
      </c>
      <c r="AB208" s="13" t="str">
        <f t="shared" si="44"/>
        <v>C</v>
      </c>
      <c r="AC208" s="15">
        <f>IF(AB208="A",VLOOKUP($G208,'[1]Price Components'!$B:$AC,7,0),IF(AB208="B",VLOOKUP($G208,'[1]Price Components'!$B:$AC,8,0),IF(AB208="C",VLOOKUP($G208,'[1]Price Components'!$B:$AC,9,0),IF(AB208="E",15%,IF(AB208="D",VLOOKUP($G208,'[1]Price Components'!$B:$AC,10,0))))))</f>
        <v>0.08</v>
      </c>
      <c r="AD208" s="13">
        <f>ROUND(IF(AC208=0,VLOOKUP($G208,'[1]Price Components'!$B:$AC,11,0),IF(I208="BASIC",X208*AC208,AA208*AC208)),0)</f>
        <v>17280</v>
      </c>
      <c r="AE208" s="13">
        <f>ROUND(VLOOKUP($G208,'[1]Price Components'!$B:$AC,12,0),0)</f>
        <v>1580</v>
      </c>
      <c r="AF208" s="16">
        <f>VLOOKUP($G208,'[1]Price Components'!$B:$AC,14,0)</f>
        <v>7.92E-3</v>
      </c>
      <c r="AG208" s="16">
        <f>VLOOKUP($G208,'[1]Price Components'!$B:$AC,15,0)</f>
        <v>8.2979999999999998E-3</v>
      </c>
      <c r="AH208" s="13">
        <f t="shared" si="12"/>
        <v>1625</v>
      </c>
      <c r="AI208" s="13">
        <f t="shared" si="13"/>
        <v>7740</v>
      </c>
      <c r="AJ208" s="13">
        <f t="shared" si="14"/>
        <v>1686</v>
      </c>
      <c r="AK208" s="13">
        <f t="shared" si="15"/>
        <v>11051</v>
      </c>
      <c r="AL208" s="13">
        <f t="shared" si="16"/>
        <v>245911</v>
      </c>
      <c r="AM208" s="17"/>
      <c r="AN208" s="18">
        <v>216000</v>
      </c>
      <c r="AO208" s="18">
        <f t="shared" si="17"/>
        <v>0</v>
      </c>
      <c r="AP208" s="18"/>
    </row>
    <row r="209" spans="1:42" ht="15.75" customHeight="1" x14ac:dyDescent="0.3">
      <c r="A209" s="7"/>
      <c r="B209" s="7"/>
      <c r="C209" s="7" t="str">
        <f t="shared" si="0"/>
        <v>VBFV60GM33</v>
      </c>
      <c r="D209" s="7" t="s">
        <v>42</v>
      </c>
      <c r="E209" s="7"/>
      <c r="F209" s="8">
        <v>350</v>
      </c>
      <c r="G209" s="9" t="s">
        <v>73</v>
      </c>
      <c r="H209" s="7" t="str">
        <f>VLOOKUP(G209,'[1]Price Components'!B:C,2,0)</f>
        <v>Chhattisgarh</v>
      </c>
      <c r="I209" s="7" t="str">
        <f>VLOOKUP(G209,'[1]Price Components'!B:D,3,0)</f>
        <v>EX-SHOWROOM</v>
      </c>
      <c r="J209" s="10">
        <f t="shared" si="1"/>
        <v>4.2499408284023668E-2</v>
      </c>
      <c r="K209" s="11">
        <v>163052</v>
      </c>
      <c r="L209" s="12">
        <f t="shared" si="2"/>
        <v>-582.01122615803615</v>
      </c>
      <c r="M209" s="11">
        <v>162469.98877384196</v>
      </c>
      <c r="N209" s="8">
        <v>1279</v>
      </c>
      <c r="O209" s="13">
        <f>VLOOKUP(G209,'[1]Price Components'!B:E,4,0)</f>
        <v>1290</v>
      </c>
      <c r="P209" s="13">
        <f t="shared" si="3"/>
        <v>165039</v>
      </c>
      <c r="Q209" s="14">
        <f>ROUND(IF(F209&lt;500,VLOOKUP(G209,'[1]Price Components'!B:G,5,0),VLOOKUP(G209,'[1]Price Components'!B:G,6,0)),2)</f>
        <v>1472</v>
      </c>
      <c r="R209" s="11">
        <f t="shared" si="4"/>
        <v>8978</v>
      </c>
      <c r="S209" s="13">
        <v>0</v>
      </c>
      <c r="T209" s="11">
        <f t="shared" si="5"/>
        <v>8978</v>
      </c>
      <c r="U209" s="11">
        <v>292</v>
      </c>
      <c r="V209" s="13">
        <f t="shared" si="6"/>
        <v>9270</v>
      </c>
      <c r="W209" s="13">
        <f t="shared" si="7"/>
        <v>211250</v>
      </c>
      <c r="X209" s="13">
        <f t="shared" si="8"/>
        <v>175781</v>
      </c>
      <c r="Y209" s="13">
        <f t="shared" si="9"/>
        <v>49219</v>
      </c>
      <c r="Z209" s="11">
        <v>0</v>
      </c>
      <c r="AA209" s="13">
        <f t="shared" si="58"/>
        <v>225000</v>
      </c>
      <c r="AB209" s="13" t="str">
        <f t="shared" si="44"/>
        <v>C</v>
      </c>
      <c r="AC209" s="15">
        <f>IF(AB209="A",VLOOKUP($G209,'[1]Price Components'!$B:$AC,7,0),IF(AB209="B",VLOOKUP($G209,'[1]Price Components'!$B:$AC,8,0),IF(AB209="C",VLOOKUP($G209,'[1]Price Components'!$B:$AC,9,0),IF(AB209="E",15%,IF(AB209="D",VLOOKUP($G209,'[1]Price Components'!$B:$AC,10,0))))))</f>
        <v>0.08</v>
      </c>
      <c r="AD209" s="13">
        <f>ROUND(IF(AC209=0,VLOOKUP($G209,'[1]Price Components'!$B:$AC,11,0),IF(I209="BASIC",X209*AC209,AA209*AC209)),0)</f>
        <v>18000</v>
      </c>
      <c r="AE209" s="13">
        <f>ROUND(VLOOKUP($G209,'[1]Price Components'!$B:$AC,12,0),0)</f>
        <v>1580</v>
      </c>
      <c r="AF209" s="16">
        <f>VLOOKUP($G209,'[1]Price Components'!$B:$AC,14,0)</f>
        <v>7.92E-3</v>
      </c>
      <c r="AG209" s="16">
        <f>VLOOKUP($G209,'[1]Price Components'!$B:$AC,15,0)</f>
        <v>8.2979999999999998E-3</v>
      </c>
      <c r="AH209" s="13">
        <f t="shared" si="12"/>
        <v>1693</v>
      </c>
      <c r="AI209" s="13">
        <f t="shared" si="13"/>
        <v>7740</v>
      </c>
      <c r="AJ209" s="13">
        <f t="shared" si="14"/>
        <v>1698</v>
      </c>
      <c r="AK209" s="13">
        <f t="shared" si="15"/>
        <v>11131</v>
      </c>
      <c r="AL209" s="13">
        <f t="shared" si="16"/>
        <v>255711</v>
      </c>
      <c r="AM209" s="17"/>
      <c r="AN209" s="18">
        <v>225000</v>
      </c>
      <c r="AO209" s="18">
        <f t="shared" si="17"/>
        <v>0</v>
      </c>
      <c r="AP209" s="18"/>
    </row>
    <row r="210" spans="1:42" ht="15.75" customHeight="1" x14ac:dyDescent="0.3">
      <c r="A210" s="7"/>
      <c r="B210" s="7"/>
      <c r="C210" s="7" t="str">
        <f t="shared" si="0"/>
        <v>VBFV60SB33</v>
      </c>
      <c r="D210" s="7" t="s">
        <v>43</v>
      </c>
      <c r="E210" s="7"/>
      <c r="F210" s="8">
        <v>350</v>
      </c>
      <c r="G210" s="9" t="s">
        <v>73</v>
      </c>
      <c r="H210" s="7" t="str">
        <f>VLOOKUP(G210,'[1]Price Components'!B:C,2,0)</f>
        <v>Chhattisgarh</v>
      </c>
      <c r="I210" s="7" t="str">
        <f>VLOOKUP(G210,'[1]Price Components'!B:D,3,0)</f>
        <v>EX-SHOWROOM</v>
      </c>
      <c r="J210" s="10">
        <f t="shared" si="1"/>
        <v>4.2499408284023668E-2</v>
      </c>
      <c r="K210" s="11">
        <v>163052</v>
      </c>
      <c r="L210" s="12">
        <f t="shared" si="2"/>
        <v>-582.01122615803615</v>
      </c>
      <c r="M210" s="11">
        <v>162469.98877384196</v>
      </c>
      <c r="N210" s="8">
        <v>1279</v>
      </c>
      <c r="O210" s="13">
        <f>VLOOKUP(G210,'[1]Price Components'!B:E,4,0)</f>
        <v>1290</v>
      </c>
      <c r="P210" s="13">
        <f t="shared" si="3"/>
        <v>165039</v>
      </c>
      <c r="Q210" s="14">
        <f>ROUND(IF(F210&lt;500,VLOOKUP(G210,'[1]Price Components'!B:G,5,0),VLOOKUP(G210,'[1]Price Components'!B:G,6,0)),2)</f>
        <v>1472</v>
      </c>
      <c r="R210" s="11">
        <f t="shared" si="4"/>
        <v>8978</v>
      </c>
      <c r="S210" s="13">
        <v>0</v>
      </c>
      <c r="T210" s="11">
        <f t="shared" si="5"/>
        <v>8978</v>
      </c>
      <c r="U210" s="11">
        <v>292</v>
      </c>
      <c r="V210" s="13">
        <f t="shared" si="6"/>
        <v>9270</v>
      </c>
      <c r="W210" s="13">
        <f t="shared" si="7"/>
        <v>211250</v>
      </c>
      <c r="X210" s="13">
        <f t="shared" si="8"/>
        <v>175781</v>
      </c>
      <c r="Y210" s="13">
        <f t="shared" si="9"/>
        <v>49219</v>
      </c>
      <c r="Z210" s="11">
        <v>0</v>
      </c>
      <c r="AA210" s="13">
        <f t="shared" si="58"/>
        <v>225000</v>
      </c>
      <c r="AB210" s="13" t="str">
        <f t="shared" si="44"/>
        <v>C</v>
      </c>
      <c r="AC210" s="15">
        <f>IF(AB210="A",VLOOKUP($G210,'[1]Price Components'!$B:$AC,7,0),IF(AB210="B",VLOOKUP($G210,'[1]Price Components'!$B:$AC,8,0),IF(AB210="C",VLOOKUP($G210,'[1]Price Components'!$B:$AC,9,0),IF(AB210="E",15%,IF(AB210="D",VLOOKUP($G210,'[1]Price Components'!$B:$AC,10,0))))))</f>
        <v>0.08</v>
      </c>
      <c r="AD210" s="13">
        <f>ROUND(IF(AC210=0,VLOOKUP($G210,'[1]Price Components'!$B:$AC,11,0),IF(I210="BASIC",X210*AC210,AA210*AC210)),0)</f>
        <v>18000</v>
      </c>
      <c r="AE210" s="13">
        <f>ROUND(VLOOKUP($G210,'[1]Price Components'!$B:$AC,12,0),0)</f>
        <v>1580</v>
      </c>
      <c r="AF210" s="16">
        <f>VLOOKUP($G210,'[1]Price Components'!$B:$AC,14,0)</f>
        <v>7.92E-3</v>
      </c>
      <c r="AG210" s="16">
        <f>VLOOKUP($G210,'[1]Price Components'!$B:$AC,15,0)</f>
        <v>8.2979999999999998E-3</v>
      </c>
      <c r="AH210" s="13">
        <f t="shared" si="12"/>
        <v>1693</v>
      </c>
      <c r="AI210" s="13">
        <f t="shared" si="13"/>
        <v>7740</v>
      </c>
      <c r="AJ210" s="13">
        <f t="shared" si="14"/>
        <v>1698</v>
      </c>
      <c r="AK210" s="13">
        <f t="shared" si="15"/>
        <v>11131</v>
      </c>
      <c r="AL210" s="13">
        <f t="shared" si="16"/>
        <v>255711</v>
      </c>
      <c r="AM210" s="17"/>
      <c r="AN210" s="18">
        <v>225000</v>
      </c>
      <c r="AO210" s="18">
        <f t="shared" si="17"/>
        <v>0</v>
      </c>
      <c r="AP210" s="18"/>
    </row>
    <row r="211" spans="1:42" ht="15.75" customHeight="1" x14ac:dyDescent="0.3">
      <c r="A211" s="7"/>
      <c r="B211" s="7"/>
      <c r="C211" s="7" t="str">
        <f t="shared" si="0"/>
        <v>VBFV60DN33</v>
      </c>
      <c r="D211" s="7" t="s">
        <v>44</v>
      </c>
      <c r="E211" s="7"/>
      <c r="F211" s="8">
        <v>350</v>
      </c>
      <c r="G211" s="9" t="s">
        <v>73</v>
      </c>
      <c r="H211" s="7" t="str">
        <f>VLOOKUP(G211,'[1]Price Components'!B:C,2,0)</f>
        <v>Chhattisgarh</v>
      </c>
      <c r="I211" s="7" t="str">
        <f>VLOOKUP(G211,'[1]Price Components'!B:D,3,0)</f>
        <v>EX-SHOWROOM</v>
      </c>
      <c r="J211" s="10">
        <f t="shared" si="1"/>
        <v>4.2501770907121129E-2</v>
      </c>
      <c r="K211" s="11">
        <v>166757</v>
      </c>
      <c r="L211" s="12">
        <f t="shared" si="2"/>
        <v>-582.53667044651229</v>
      </c>
      <c r="M211" s="11">
        <v>166174.46332955349</v>
      </c>
      <c r="N211" s="8">
        <v>1279</v>
      </c>
      <c r="O211" s="13">
        <f>VLOOKUP(G211,'[1]Price Components'!B:E,4,0)</f>
        <v>1290</v>
      </c>
      <c r="P211" s="13">
        <f t="shared" si="3"/>
        <v>168743</v>
      </c>
      <c r="Q211" s="14">
        <f>ROUND(IF(F211&lt;500,VLOOKUP(G211,'[1]Price Components'!B:G,5,0),VLOOKUP(G211,'[1]Price Components'!B:G,6,0)),2)</f>
        <v>1472</v>
      </c>
      <c r="R211" s="11">
        <f t="shared" si="4"/>
        <v>9180</v>
      </c>
      <c r="S211" s="13">
        <v>0</v>
      </c>
      <c r="T211" s="11">
        <f t="shared" si="5"/>
        <v>9180</v>
      </c>
      <c r="U211" s="11">
        <v>292</v>
      </c>
      <c r="V211" s="13">
        <f t="shared" si="6"/>
        <v>9472</v>
      </c>
      <c r="W211" s="13">
        <f t="shared" si="7"/>
        <v>215991</v>
      </c>
      <c r="X211" s="13">
        <f t="shared" si="8"/>
        <v>179687</v>
      </c>
      <c r="Y211" s="13">
        <f t="shared" si="9"/>
        <v>50312</v>
      </c>
      <c r="Z211" s="11">
        <v>0</v>
      </c>
      <c r="AA211" s="13">
        <f>ROUND(X211+Y211+Z211,0)+1</f>
        <v>230000</v>
      </c>
      <c r="AB211" s="13" t="str">
        <f t="shared" si="44"/>
        <v>C</v>
      </c>
      <c r="AC211" s="15">
        <f>IF(AB211="A",VLOOKUP($G211,'[1]Price Components'!$B:$AC,7,0),IF(AB211="B",VLOOKUP($G211,'[1]Price Components'!$B:$AC,8,0),IF(AB211="C",VLOOKUP($G211,'[1]Price Components'!$B:$AC,9,0),IF(AB211="E",15%,IF(AB211="D",VLOOKUP($G211,'[1]Price Components'!$B:$AC,10,0))))))</f>
        <v>0.08</v>
      </c>
      <c r="AD211" s="13">
        <f>ROUND(IF(AC211=0,VLOOKUP($G211,'[1]Price Components'!$B:$AC,11,0),IF(I211="BASIC",X211*AC211,AA211*AC211)),0)</f>
        <v>18400</v>
      </c>
      <c r="AE211" s="13">
        <f>ROUND(VLOOKUP($G211,'[1]Price Components'!$B:$AC,12,0),0)</f>
        <v>1580</v>
      </c>
      <c r="AF211" s="16">
        <f>VLOOKUP($G211,'[1]Price Components'!$B:$AC,14,0)</f>
        <v>7.92E-3</v>
      </c>
      <c r="AG211" s="16">
        <f>VLOOKUP($G211,'[1]Price Components'!$B:$AC,15,0)</f>
        <v>8.2979999999999998E-3</v>
      </c>
      <c r="AH211" s="13">
        <f t="shared" si="12"/>
        <v>1731</v>
      </c>
      <c r="AI211" s="13">
        <f t="shared" si="13"/>
        <v>7740</v>
      </c>
      <c r="AJ211" s="13">
        <f t="shared" si="14"/>
        <v>1705</v>
      </c>
      <c r="AK211" s="13">
        <f t="shared" si="15"/>
        <v>11176</v>
      </c>
      <c r="AL211" s="13">
        <f t="shared" si="16"/>
        <v>261156</v>
      </c>
      <c r="AM211" s="17"/>
      <c r="AN211" s="18">
        <v>230000</v>
      </c>
      <c r="AO211" s="18">
        <f t="shared" si="17"/>
        <v>0</v>
      </c>
      <c r="AP211" s="18"/>
    </row>
    <row r="212" spans="1:42" ht="15.75" customHeight="1" x14ac:dyDescent="0.3">
      <c r="A212" s="7"/>
      <c r="B212" s="7"/>
      <c r="C212" s="7" t="str">
        <f t="shared" si="0"/>
        <v>VBFV60RR34</v>
      </c>
      <c r="D212" s="7" t="s">
        <v>37</v>
      </c>
      <c r="E212" s="7"/>
      <c r="F212" s="8">
        <v>350</v>
      </c>
      <c r="G212" s="9" t="s">
        <v>74</v>
      </c>
      <c r="H212" s="7" t="str">
        <f>VLOOKUP(G212,'[1]Price Components'!B:C,2,0)</f>
        <v>Jharkhand</v>
      </c>
      <c r="I212" s="7" t="str">
        <f>VLOOKUP(G212,'[1]Price Components'!B:D,3,0)</f>
        <v>EX-SHOWROOM</v>
      </c>
      <c r="J212" s="10">
        <f t="shared" si="1"/>
        <v>4.250142720710242E-2</v>
      </c>
      <c r="K212" s="11">
        <v>144158</v>
      </c>
      <c r="L212" s="12">
        <f t="shared" si="2"/>
        <v>327.42959553454421</v>
      </c>
      <c r="M212" s="11">
        <v>144485.42959553454</v>
      </c>
      <c r="N212" s="8">
        <v>1279</v>
      </c>
      <c r="O212" s="13">
        <f>VLOOKUP(G212,'[1]Price Components'!B:E,4,0)</f>
        <v>665</v>
      </c>
      <c r="P212" s="13">
        <f t="shared" si="3"/>
        <v>146429</v>
      </c>
      <c r="Q212" s="14">
        <f>ROUND(IF(F212&lt;500,VLOOKUP(G212,'[1]Price Components'!B:G,5,0),VLOOKUP(G212,'[1]Price Components'!B:G,6,0)),2)</f>
        <v>1172</v>
      </c>
      <c r="R212" s="11">
        <f t="shared" si="4"/>
        <v>7966</v>
      </c>
      <c r="S212" s="13">
        <v>0</v>
      </c>
      <c r="T212" s="11">
        <f t="shared" si="5"/>
        <v>7966</v>
      </c>
      <c r="U212" s="11">
        <v>292</v>
      </c>
      <c r="V212" s="13">
        <f t="shared" si="6"/>
        <v>8258</v>
      </c>
      <c r="W212" s="13">
        <f t="shared" si="7"/>
        <v>187429</v>
      </c>
      <c r="X212" s="13">
        <f t="shared" si="8"/>
        <v>155859</v>
      </c>
      <c r="Y212" s="13">
        <f t="shared" si="9"/>
        <v>43641</v>
      </c>
      <c r="Z212" s="11">
        <v>0</v>
      </c>
      <c r="AA212" s="13">
        <f t="shared" ref="AA212:AA217" si="59">ROUND(X212+Y212+Z212,0)</f>
        <v>199500</v>
      </c>
      <c r="AB212" s="13" t="str">
        <f t="shared" si="44"/>
        <v>B</v>
      </c>
      <c r="AC212" s="15">
        <f>IF(AB212="A",VLOOKUP($G212,'[1]Price Components'!$B:$AC,7,0),IF(AB212="B",VLOOKUP($G212,'[1]Price Components'!$B:$AC,8,0),IF(AB212="C",VLOOKUP($G212,'[1]Price Components'!$B:$AC,9,0),IF(AB212="E",15%,IF(AB212="D",VLOOKUP($G212,'[1]Price Components'!$B:$AC,10,0))))))</f>
        <v>0.09</v>
      </c>
      <c r="AD212" s="13">
        <f>ROUND(IF(AC212=0,VLOOKUP($G212,'[1]Price Components'!$B:$AC,11,0),IF(I212="BASIC",X212*AC212,AA212*AC212)),0)</f>
        <v>17955</v>
      </c>
      <c r="AE212" s="13">
        <f>ROUND(VLOOKUP($G212,'[1]Price Components'!$B:$AC,12,0),0)</f>
        <v>1085</v>
      </c>
      <c r="AF212" s="16">
        <f>VLOOKUP($G212,'[1]Price Components'!$B:$AC,14,0)</f>
        <v>7.92E-3</v>
      </c>
      <c r="AG212" s="16">
        <f>VLOOKUP($G212,'[1]Price Components'!$B:$AC,15,0)</f>
        <v>8.2979999999999998E-3</v>
      </c>
      <c r="AH212" s="13">
        <f t="shared" si="12"/>
        <v>1501</v>
      </c>
      <c r="AI212" s="13">
        <f t="shared" si="13"/>
        <v>7740</v>
      </c>
      <c r="AJ212" s="13">
        <f t="shared" si="14"/>
        <v>1663</v>
      </c>
      <c r="AK212" s="13">
        <f t="shared" si="15"/>
        <v>10904</v>
      </c>
      <c r="AL212" s="13">
        <f t="shared" si="16"/>
        <v>229444</v>
      </c>
      <c r="AM212" s="17"/>
      <c r="AN212" s="18">
        <v>199500</v>
      </c>
      <c r="AO212" s="18">
        <f t="shared" si="17"/>
        <v>0</v>
      </c>
      <c r="AP212" s="18"/>
    </row>
    <row r="213" spans="1:42" ht="15.75" customHeight="1" x14ac:dyDescent="0.3">
      <c r="A213" s="7"/>
      <c r="B213" s="7"/>
      <c r="C213" s="7" t="str">
        <f t="shared" si="0"/>
        <v>VBFV60EB34</v>
      </c>
      <c r="D213" s="7" t="s">
        <v>39</v>
      </c>
      <c r="E213" s="7"/>
      <c r="F213" s="8">
        <v>350</v>
      </c>
      <c r="G213" s="9" t="s">
        <v>74</v>
      </c>
      <c r="H213" s="7" t="str">
        <f>VLOOKUP(G213,'[1]Price Components'!B:C,2,0)</f>
        <v>Jharkhand</v>
      </c>
      <c r="I213" s="7" t="str">
        <f>VLOOKUP(G213,'[1]Price Components'!B:D,3,0)</f>
        <v>EX-SHOWROOM</v>
      </c>
      <c r="J213" s="10">
        <f t="shared" si="1"/>
        <v>4.250142720710242E-2</v>
      </c>
      <c r="K213" s="11">
        <v>144158</v>
      </c>
      <c r="L213" s="12">
        <f t="shared" si="2"/>
        <v>327.42959553454421</v>
      </c>
      <c r="M213" s="11">
        <v>144485.42959553454</v>
      </c>
      <c r="N213" s="8">
        <v>1279</v>
      </c>
      <c r="O213" s="13">
        <f>VLOOKUP(G213,'[1]Price Components'!B:E,4,0)</f>
        <v>665</v>
      </c>
      <c r="P213" s="13">
        <f t="shared" si="3"/>
        <v>146429</v>
      </c>
      <c r="Q213" s="14">
        <f>ROUND(IF(F213&lt;500,VLOOKUP(G213,'[1]Price Components'!B:G,5,0),VLOOKUP(G213,'[1]Price Components'!B:G,6,0)),2)</f>
        <v>1172</v>
      </c>
      <c r="R213" s="11">
        <f t="shared" si="4"/>
        <v>7966</v>
      </c>
      <c r="S213" s="13">
        <v>0</v>
      </c>
      <c r="T213" s="11">
        <f t="shared" si="5"/>
        <v>7966</v>
      </c>
      <c r="U213" s="11">
        <v>292</v>
      </c>
      <c r="V213" s="13">
        <f t="shared" si="6"/>
        <v>8258</v>
      </c>
      <c r="W213" s="13">
        <f t="shared" si="7"/>
        <v>187429</v>
      </c>
      <c r="X213" s="13">
        <f t="shared" si="8"/>
        <v>155859</v>
      </c>
      <c r="Y213" s="13">
        <f t="shared" si="9"/>
        <v>43641</v>
      </c>
      <c r="Z213" s="11">
        <v>0</v>
      </c>
      <c r="AA213" s="13">
        <f t="shared" si="59"/>
        <v>199500</v>
      </c>
      <c r="AB213" s="13" t="str">
        <f t="shared" si="44"/>
        <v>B</v>
      </c>
      <c r="AC213" s="15">
        <f>IF(AB213="A",VLOOKUP($G213,'[1]Price Components'!$B:$AC,7,0),IF(AB213="B",VLOOKUP($G213,'[1]Price Components'!$B:$AC,8,0),IF(AB213="C",VLOOKUP($G213,'[1]Price Components'!$B:$AC,9,0),IF(AB213="E",15%,IF(AB213="D",VLOOKUP($G213,'[1]Price Components'!$B:$AC,10,0))))))</f>
        <v>0.09</v>
      </c>
      <c r="AD213" s="13">
        <f>ROUND(IF(AC213=0,VLOOKUP($G213,'[1]Price Components'!$B:$AC,11,0),IF(I213="BASIC",X213*AC213,AA213*AC213)),0)</f>
        <v>17955</v>
      </c>
      <c r="AE213" s="13">
        <f>ROUND(VLOOKUP($G213,'[1]Price Components'!$B:$AC,12,0),0)</f>
        <v>1085</v>
      </c>
      <c r="AF213" s="16">
        <f>VLOOKUP($G213,'[1]Price Components'!$B:$AC,14,0)</f>
        <v>7.92E-3</v>
      </c>
      <c r="AG213" s="16">
        <f>VLOOKUP($G213,'[1]Price Components'!$B:$AC,15,0)</f>
        <v>8.2979999999999998E-3</v>
      </c>
      <c r="AH213" s="13">
        <f t="shared" si="12"/>
        <v>1501</v>
      </c>
      <c r="AI213" s="13">
        <f t="shared" si="13"/>
        <v>7740</v>
      </c>
      <c r="AJ213" s="13">
        <f t="shared" si="14"/>
        <v>1663</v>
      </c>
      <c r="AK213" s="13">
        <f t="shared" si="15"/>
        <v>10904</v>
      </c>
      <c r="AL213" s="13">
        <f t="shared" si="16"/>
        <v>229444</v>
      </c>
      <c r="AM213" s="17"/>
      <c r="AN213" s="18">
        <v>199500</v>
      </c>
      <c r="AO213" s="18">
        <f t="shared" si="17"/>
        <v>0</v>
      </c>
      <c r="AP213" s="18"/>
    </row>
    <row r="214" spans="1:42" ht="15.75" customHeight="1" x14ac:dyDescent="0.3">
      <c r="A214" s="7"/>
      <c r="B214" s="7"/>
      <c r="C214" s="7" t="str">
        <f t="shared" si="0"/>
        <v>VBFV60HG34</v>
      </c>
      <c r="D214" s="7" t="s">
        <v>40</v>
      </c>
      <c r="E214" s="7"/>
      <c r="F214" s="8">
        <v>350</v>
      </c>
      <c r="G214" s="9" t="s">
        <v>74</v>
      </c>
      <c r="H214" s="7" t="str">
        <f>VLOOKUP(G214,'[1]Price Components'!B:C,2,0)</f>
        <v>Jharkhand</v>
      </c>
      <c r="I214" s="7" t="str">
        <f>VLOOKUP(G214,'[1]Price Components'!B:D,3,0)</f>
        <v>EX-SHOWROOM</v>
      </c>
      <c r="J214" s="10">
        <f t="shared" si="1"/>
        <v>4.2499139271145236E-2</v>
      </c>
      <c r="K214" s="11">
        <v>147492</v>
      </c>
      <c r="L214" s="12">
        <f t="shared" si="2"/>
        <v>328.00680722892866</v>
      </c>
      <c r="M214" s="11">
        <v>147820.00680722893</v>
      </c>
      <c r="N214" s="8">
        <v>1279</v>
      </c>
      <c r="O214" s="13">
        <f>VLOOKUP(G214,'[1]Price Components'!B:E,4,0)</f>
        <v>665</v>
      </c>
      <c r="P214" s="13">
        <f t="shared" si="3"/>
        <v>149764</v>
      </c>
      <c r="Q214" s="14">
        <f>ROUND(IF(F214&lt;500,VLOOKUP(G214,'[1]Price Components'!B:G,5,0),VLOOKUP(G214,'[1]Price Components'!B:G,6,0)),2)</f>
        <v>1172</v>
      </c>
      <c r="R214" s="11">
        <f t="shared" si="4"/>
        <v>8147</v>
      </c>
      <c r="S214" s="13">
        <v>0</v>
      </c>
      <c r="T214" s="11">
        <f t="shared" si="5"/>
        <v>8147</v>
      </c>
      <c r="U214" s="11">
        <v>292</v>
      </c>
      <c r="V214" s="13">
        <f t="shared" si="6"/>
        <v>8439</v>
      </c>
      <c r="W214" s="13">
        <f t="shared" si="7"/>
        <v>191698</v>
      </c>
      <c r="X214" s="13">
        <f t="shared" si="8"/>
        <v>159375</v>
      </c>
      <c r="Y214" s="13">
        <f t="shared" si="9"/>
        <v>44625</v>
      </c>
      <c r="Z214" s="11">
        <v>0</v>
      </c>
      <c r="AA214" s="13">
        <f t="shared" si="59"/>
        <v>204000</v>
      </c>
      <c r="AB214" s="13" t="str">
        <f t="shared" si="44"/>
        <v>C</v>
      </c>
      <c r="AC214" s="15">
        <f>IF(AB214="A",VLOOKUP($G214,'[1]Price Components'!$B:$AC,7,0),IF(AB214="B",VLOOKUP($G214,'[1]Price Components'!$B:$AC,8,0),IF(AB214="C",VLOOKUP($G214,'[1]Price Components'!$B:$AC,9,0),IF(AB214="E",15%,IF(AB214="D",VLOOKUP($G214,'[1]Price Components'!$B:$AC,10,0))))))</f>
        <v>0.09</v>
      </c>
      <c r="AD214" s="13">
        <f>ROUND(IF(AC214=0,VLOOKUP($G214,'[1]Price Components'!$B:$AC,11,0),IF(I214="BASIC",X214*AC214,AA214*AC214)),0)</f>
        <v>18360</v>
      </c>
      <c r="AE214" s="13">
        <f>ROUND(VLOOKUP($G214,'[1]Price Components'!$B:$AC,12,0),0)</f>
        <v>1085</v>
      </c>
      <c r="AF214" s="16">
        <f>VLOOKUP($G214,'[1]Price Components'!$B:$AC,14,0)</f>
        <v>7.92E-3</v>
      </c>
      <c r="AG214" s="16">
        <f>VLOOKUP($G214,'[1]Price Components'!$B:$AC,15,0)</f>
        <v>8.2979999999999998E-3</v>
      </c>
      <c r="AH214" s="13">
        <f t="shared" si="12"/>
        <v>1535</v>
      </c>
      <c r="AI214" s="13">
        <f t="shared" si="13"/>
        <v>7740</v>
      </c>
      <c r="AJ214" s="13">
        <f t="shared" si="14"/>
        <v>1670</v>
      </c>
      <c r="AK214" s="13">
        <f t="shared" si="15"/>
        <v>10945</v>
      </c>
      <c r="AL214" s="13">
        <f t="shared" si="16"/>
        <v>234390</v>
      </c>
      <c r="AM214" s="17"/>
      <c r="AN214" s="18">
        <v>204000</v>
      </c>
      <c r="AO214" s="18">
        <f t="shared" si="17"/>
        <v>0</v>
      </c>
      <c r="AP214" s="18"/>
    </row>
    <row r="215" spans="1:42" ht="15.75" customHeight="1" x14ac:dyDescent="0.3">
      <c r="A215" s="7"/>
      <c r="B215" s="7"/>
      <c r="C215" s="7" t="str">
        <f t="shared" si="0"/>
        <v>VBFV60SE34</v>
      </c>
      <c r="D215" s="7" t="s">
        <v>41</v>
      </c>
      <c r="E215" s="7"/>
      <c r="F215" s="8">
        <v>350</v>
      </c>
      <c r="G215" s="9" t="s">
        <v>74</v>
      </c>
      <c r="H215" s="7" t="str">
        <f>VLOOKUP(G215,'[1]Price Components'!B:C,2,0)</f>
        <v>Jharkhand</v>
      </c>
      <c r="I215" s="7" t="str">
        <f>VLOOKUP(G215,'[1]Price Components'!B:D,3,0)</f>
        <v>EX-SHOWROOM</v>
      </c>
      <c r="J215" s="10">
        <f t="shared" si="1"/>
        <v>4.2500910980017528E-2</v>
      </c>
      <c r="K215" s="11">
        <v>156384</v>
      </c>
      <c r="L215" s="12">
        <f t="shared" si="2"/>
        <v>327.43594504974317</v>
      </c>
      <c r="M215" s="11">
        <v>156711.43594504974</v>
      </c>
      <c r="N215" s="8">
        <v>1279</v>
      </c>
      <c r="O215" s="13">
        <f>VLOOKUP(G215,'[1]Price Components'!B:E,4,0)</f>
        <v>665</v>
      </c>
      <c r="P215" s="13">
        <f t="shared" si="3"/>
        <v>158655</v>
      </c>
      <c r="Q215" s="14">
        <f>ROUND(IF(F215&lt;500,VLOOKUP(G215,'[1]Price Components'!B:G,5,0),VLOOKUP(G215,'[1]Price Components'!B:G,6,0)),2)</f>
        <v>1172</v>
      </c>
      <c r="R215" s="11">
        <f t="shared" si="4"/>
        <v>8631</v>
      </c>
      <c r="S215" s="13">
        <v>0</v>
      </c>
      <c r="T215" s="11">
        <f t="shared" si="5"/>
        <v>8631</v>
      </c>
      <c r="U215" s="11">
        <v>292</v>
      </c>
      <c r="V215" s="13">
        <f t="shared" si="6"/>
        <v>8923</v>
      </c>
      <c r="W215" s="13">
        <f t="shared" si="7"/>
        <v>203078</v>
      </c>
      <c r="X215" s="13">
        <f t="shared" si="8"/>
        <v>168750</v>
      </c>
      <c r="Y215" s="13">
        <f t="shared" si="9"/>
        <v>47250</v>
      </c>
      <c r="Z215" s="11">
        <v>0</v>
      </c>
      <c r="AA215" s="13">
        <f t="shared" si="59"/>
        <v>216000</v>
      </c>
      <c r="AB215" s="13" t="str">
        <f t="shared" si="44"/>
        <v>C</v>
      </c>
      <c r="AC215" s="15">
        <f>IF(AB215="A",VLOOKUP($G215,'[1]Price Components'!$B:$AC,7,0),IF(AB215="B",VLOOKUP($G215,'[1]Price Components'!$B:$AC,8,0),IF(AB215="C",VLOOKUP($G215,'[1]Price Components'!$B:$AC,9,0),IF(AB215="E",15%,IF(AB215="D",VLOOKUP($G215,'[1]Price Components'!$B:$AC,10,0))))))</f>
        <v>0.09</v>
      </c>
      <c r="AD215" s="13">
        <f>ROUND(IF(AC215=0,VLOOKUP($G215,'[1]Price Components'!$B:$AC,11,0),IF(I215="BASIC",X215*AC215,AA215*AC215)),0)</f>
        <v>19440</v>
      </c>
      <c r="AE215" s="13">
        <f>ROUND(VLOOKUP($G215,'[1]Price Components'!$B:$AC,12,0),0)</f>
        <v>1085</v>
      </c>
      <c r="AF215" s="16">
        <f>VLOOKUP($G215,'[1]Price Components'!$B:$AC,14,0)</f>
        <v>7.92E-3</v>
      </c>
      <c r="AG215" s="16">
        <f>VLOOKUP($G215,'[1]Price Components'!$B:$AC,15,0)</f>
        <v>8.2979999999999998E-3</v>
      </c>
      <c r="AH215" s="13">
        <f t="shared" si="12"/>
        <v>1625</v>
      </c>
      <c r="AI215" s="13">
        <f t="shared" si="13"/>
        <v>7740</v>
      </c>
      <c r="AJ215" s="13">
        <f t="shared" si="14"/>
        <v>1686</v>
      </c>
      <c r="AK215" s="13">
        <f t="shared" si="15"/>
        <v>11051</v>
      </c>
      <c r="AL215" s="13">
        <f t="shared" si="16"/>
        <v>247576</v>
      </c>
      <c r="AM215" s="17"/>
      <c r="AN215" s="18">
        <v>216000</v>
      </c>
      <c r="AO215" s="18">
        <f t="shared" si="17"/>
        <v>0</v>
      </c>
      <c r="AP215" s="18"/>
    </row>
    <row r="216" spans="1:42" ht="15.75" customHeight="1" x14ac:dyDescent="0.3">
      <c r="A216" s="7"/>
      <c r="B216" s="7"/>
      <c r="C216" s="7" t="str">
        <f t="shared" si="0"/>
        <v>VBFV60GM34</v>
      </c>
      <c r="D216" s="7" t="s">
        <v>42</v>
      </c>
      <c r="E216" s="7"/>
      <c r="F216" s="8">
        <v>350</v>
      </c>
      <c r="G216" s="9" t="s">
        <v>74</v>
      </c>
      <c r="H216" s="7" t="str">
        <f>VLOOKUP(G216,'[1]Price Components'!B:C,2,0)</f>
        <v>Jharkhand</v>
      </c>
      <c r="I216" s="7" t="str">
        <f>VLOOKUP(G216,'[1]Price Components'!B:D,3,0)</f>
        <v>EX-SHOWROOM</v>
      </c>
      <c r="J216" s="10">
        <f t="shared" si="1"/>
        <v>4.2502114709398763E-2</v>
      </c>
      <c r="K216" s="11">
        <v>163052</v>
      </c>
      <c r="L216" s="12">
        <f t="shared" si="2"/>
        <v>327.28875567665091</v>
      </c>
      <c r="M216" s="11">
        <v>163379.28875567665</v>
      </c>
      <c r="N216" s="8">
        <v>1279</v>
      </c>
      <c r="O216" s="13">
        <f>VLOOKUP(G216,'[1]Price Components'!B:E,4,0)</f>
        <v>665</v>
      </c>
      <c r="P216" s="13">
        <f t="shared" si="3"/>
        <v>165323</v>
      </c>
      <c r="Q216" s="14">
        <f>ROUND(IF(F216&lt;500,VLOOKUP(G216,'[1]Price Components'!B:G,5,0),VLOOKUP(G216,'[1]Price Components'!B:G,6,0)),2)</f>
        <v>1172</v>
      </c>
      <c r="R216" s="11">
        <f t="shared" si="4"/>
        <v>8994</v>
      </c>
      <c r="S216" s="13">
        <v>0</v>
      </c>
      <c r="T216" s="11">
        <f t="shared" si="5"/>
        <v>8994</v>
      </c>
      <c r="U216" s="11">
        <v>292</v>
      </c>
      <c r="V216" s="13">
        <f t="shared" si="6"/>
        <v>9286</v>
      </c>
      <c r="W216" s="13">
        <f t="shared" si="7"/>
        <v>211613</v>
      </c>
      <c r="X216" s="13">
        <f t="shared" si="8"/>
        <v>175781</v>
      </c>
      <c r="Y216" s="13">
        <f t="shared" si="9"/>
        <v>49219</v>
      </c>
      <c r="Z216" s="11">
        <v>0</v>
      </c>
      <c r="AA216" s="13">
        <f t="shared" si="59"/>
        <v>225000</v>
      </c>
      <c r="AB216" s="13" t="str">
        <f t="shared" si="44"/>
        <v>C</v>
      </c>
      <c r="AC216" s="15">
        <f>IF(AB216="A",VLOOKUP($G216,'[1]Price Components'!$B:$AC,7,0),IF(AB216="B",VLOOKUP($G216,'[1]Price Components'!$B:$AC,8,0),IF(AB216="C",VLOOKUP($G216,'[1]Price Components'!$B:$AC,9,0),IF(AB216="E",15%,IF(AB216="D",VLOOKUP($G216,'[1]Price Components'!$B:$AC,10,0))))))</f>
        <v>0.09</v>
      </c>
      <c r="AD216" s="13">
        <f>ROUND(IF(AC216=0,VLOOKUP($G216,'[1]Price Components'!$B:$AC,11,0),IF(I216="BASIC",X216*AC216,AA216*AC216)),0)</f>
        <v>20250</v>
      </c>
      <c r="AE216" s="13">
        <f>ROUND(VLOOKUP($G216,'[1]Price Components'!$B:$AC,12,0),0)</f>
        <v>1085</v>
      </c>
      <c r="AF216" s="16">
        <f>VLOOKUP($G216,'[1]Price Components'!$B:$AC,14,0)</f>
        <v>7.92E-3</v>
      </c>
      <c r="AG216" s="16">
        <f>VLOOKUP($G216,'[1]Price Components'!$B:$AC,15,0)</f>
        <v>8.2979999999999998E-3</v>
      </c>
      <c r="AH216" s="13">
        <f t="shared" si="12"/>
        <v>1693</v>
      </c>
      <c r="AI216" s="13">
        <f t="shared" si="13"/>
        <v>7740</v>
      </c>
      <c r="AJ216" s="13">
        <f t="shared" si="14"/>
        <v>1698</v>
      </c>
      <c r="AK216" s="13">
        <f t="shared" si="15"/>
        <v>11131</v>
      </c>
      <c r="AL216" s="13">
        <f t="shared" si="16"/>
        <v>257466</v>
      </c>
      <c r="AM216" s="17"/>
      <c r="AN216" s="18">
        <v>225000</v>
      </c>
      <c r="AO216" s="18">
        <f t="shared" si="17"/>
        <v>0</v>
      </c>
      <c r="AP216" s="18"/>
    </row>
    <row r="217" spans="1:42" ht="15.75" customHeight="1" x14ac:dyDescent="0.3">
      <c r="A217" s="7"/>
      <c r="B217" s="7"/>
      <c r="C217" s="7" t="str">
        <f t="shared" si="0"/>
        <v>VBFV60SB34</v>
      </c>
      <c r="D217" s="7" t="s">
        <v>43</v>
      </c>
      <c r="E217" s="7"/>
      <c r="F217" s="8">
        <v>350</v>
      </c>
      <c r="G217" s="9" t="s">
        <v>74</v>
      </c>
      <c r="H217" s="7" t="str">
        <f>VLOOKUP(G217,'[1]Price Components'!B:C,2,0)</f>
        <v>Jharkhand</v>
      </c>
      <c r="I217" s="7" t="str">
        <f>VLOOKUP(G217,'[1]Price Components'!B:D,3,0)</f>
        <v>EX-SHOWROOM</v>
      </c>
      <c r="J217" s="10">
        <f t="shared" si="1"/>
        <v>4.2502114709398763E-2</v>
      </c>
      <c r="K217" s="11">
        <v>163052</v>
      </c>
      <c r="L217" s="12">
        <f t="shared" si="2"/>
        <v>327.28875567665091</v>
      </c>
      <c r="M217" s="11">
        <v>163379.28875567665</v>
      </c>
      <c r="N217" s="8">
        <v>1279</v>
      </c>
      <c r="O217" s="13">
        <f>VLOOKUP(G217,'[1]Price Components'!B:E,4,0)</f>
        <v>665</v>
      </c>
      <c r="P217" s="13">
        <f t="shared" si="3"/>
        <v>165323</v>
      </c>
      <c r="Q217" s="14">
        <f>ROUND(IF(F217&lt;500,VLOOKUP(G217,'[1]Price Components'!B:G,5,0),VLOOKUP(G217,'[1]Price Components'!B:G,6,0)),2)</f>
        <v>1172</v>
      </c>
      <c r="R217" s="11">
        <f t="shared" si="4"/>
        <v>8994</v>
      </c>
      <c r="S217" s="13">
        <v>0</v>
      </c>
      <c r="T217" s="11">
        <f t="shared" si="5"/>
        <v>8994</v>
      </c>
      <c r="U217" s="11">
        <v>292</v>
      </c>
      <c r="V217" s="13">
        <f t="shared" si="6"/>
        <v>9286</v>
      </c>
      <c r="W217" s="13">
        <f t="shared" si="7"/>
        <v>211613</v>
      </c>
      <c r="X217" s="13">
        <f t="shared" si="8"/>
        <v>175781</v>
      </c>
      <c r="Y217" s="13">
        <f t="shared" si="9"/>
        <v>49219</v>
      </c>
      <c r="Z217" s="11">
        <v>0</v>
      </c>
      <c r="AA217" s="13">
        <f t="shared" si="59"/>
        <v>225000</v>
      </c>
      <c r="AB217" s="13" t="str">
        <f t="shared" si="44"/>
        <v>C</v>
      </c>
      <c r="AC217" s="15">
        <f>IF(AB217="A",VLOOKUP($G217,'[1]Price Components'!$B:$AC,7,0),IF(AB217="B",VLOOKUP($G217,'[1]Price Components'!$B:$AC,8,0),IF(AB217="C",VLOOKUP($G217,'[1]Price Components'!$B:$AC,9,0),IF(AB217="E",15%,IF(AB217="D",VLOOKUP($G217,'[1]Price Components'!$B:$AC,10,0))))))</f>
        <v>0.09</v>
      </c>
      <c r="AD217" s="13">
        <f>ROUND(IF(AC217=0,VLOOKUP($G217,'[1]Price Components'!$B:$AC,11,0),IF(I217="BASIC",X217*AC217,AA217*AC217)),0)</f>
        <v>20250</v>
      </c>
      <c r="AE217" s="13">
        <f>ROUND(VLOOKUP($G217,'[1]Price Components'!$B:$AC,12,0),0)</f>
        <v>1085</v>
      </c>
      <c r="AF217" s="16">
        <f>VLOOKUP($G217,'[1]Price Components'!$B:$AC,14,0)</f>
        <v>7.92E-3</v>
      </c>
      <c r="AG217" s="16">
        <f>VLOOKUP($G217,'[1]Price Components'!$B:$AC,15,0)</f>
        <v>8.2979999999999998E-3</v>
      </c>
      <c r="AH217" s="13">
        <f t="shared" si="12"/>
        <v>1693</v>
      </c>
      <c r="AI217" s="13">
        <f t="shared" si="13"/>
        <v>7740</v>
      </c>
      <c r="AJ217" s="13">
        <f t="shared" si="14"/>
        <v>1698</v>
      </c>
      <c r="AK217" s="13">
        <f t="shared" si="15"/>
        <v>11131</v>
      </c>
      <c r="AL217" s="13">
        <f t="shared" si="16"/>
        <v>257466</v>
      </c>
      <c r="AM217" s="17"/>
      <c r="AN217" s="18">
        <v>225000</v>
      </c>
      <c r="AO217" s="18">
        <f t="shared" si="17"/>
        <v>0</v>
      </c>
      <c r="AP217" s="18"/>
    </row>
    <row r="218" spans="1:42" ht="15.75" customHeight="1" x14ac:dyDescent="0.3">
      <c r="A218" s="7"/>
      <c r="B218" s="7"/>
      <c r="C218" s="7" t="str">
        <f t="shared" si="0"/>
        <v>VBFV60DN34</v>
      </c>
      <c r="D218" s="7" t="s">
        <v>44</v>
      </c>
      <c r="E218" s="7"/>
      <c r="F218" s="8">
        <v>350</v>
      </c>
      <c r="G218" s="9" t="s">
        <v>74</v>
      </c>
      <c r="H218" s="7" t="str">
        <f>VLOOKUP(G218,'[1]Price Components'!B:C,2,0)</f>
        <v>Jharkhand</v>
      </c>
      <c r="I218" s="7" t="str">
        <f>VLOOKUP(G218,'[1]Price Components'!B:D,3,0)</f>
        <v>EX-SHOWROOM</v>
      </c>
      <c r="J218" s="10">
        <f t="shared" si="1"/>
        <v>4.2499399138456989E-2</v>
      </c>
      <c r="K218" s="11">
        <v>166757</v>
      </c>
      <c r="L218" s="12">
        <f t="shared" si="2"/>
        <v>327.43952080298914</v>
      </c>
      <c r="M218" s="11">
        <v>167084.43952080299</v>
      </c>
      <c r="N218" s="8">
        <v>1279</v>
      </c>
      <c r="O218" s="13">
        <f>VLOOKUP(G218,'[1]Price Components'!B:E,4,0)</f>
        <v>665</v>
      </c>
      <c r="P218" s="13">
        <f t="shared" si="3"/>
        <v>169028</v>
      </c>
      <c r="Q218" s="14">
        <f>ROUND(IF(F218&lt;500,VLOOKUP(G218,'[1]Price Components'!B:G,5,0),VLOOKUP(G218,'[1]Price Components'!B:G,6,0)),2)</f>
        <v>1172</v>
      </c>
      <c r="R218" s="11">
        <f t="shared" si="4"/>
        <v>9195</v>
      </c>
      <c r="S218" s="13">
        <v>0</v>
      </c>
      <c r="T218" s="11">
        <f t="shared" si="5"/>
        <v>9195</v>
      </c>
      <c r="U218" s="11">
        <v>292</v>
      </c>
      <c r="V218" s="13">
        <f t="shared" si="6"/>
        <v>9487</v>
      </c>
      <c r="W218" s="13">
        <f t="shared" si="7"/>
        <v>216356</v>
      </c>
      <c r="X218" s="13">
        <f t="shared" si="8"/>
        <v>179687</v>
      </c>
      <c r="Y218" s="13">
        <f t="shared" si="9"/>
        <v>50312</v>
      </c>
      <c r="Z218" s="11">
        <v>0</v>
      </c>
      <c r="AA218" s="13">
        <f>ROUND(X218+Y218+Z218,0)+1</f>
        <v>230000</v>
      </c>
      <c r="AB218" s="13" t="str">
        <f t="shared" si="44"/>
        <v>C</v>
      </c>
      <c r="AC218" s="15">
        <f>IF(AB218="A",VLOOKUP($G218,'[1]Price Components'!$B:$AC,7,0),IF(AB218="B",VLOOKUP($G218,'[1]Price Components'!$B:$AC,8,0),IF(AB218="C",VLOOKUP($G218,'[1]Price Components'!$B:$AC,9,0),IF(AB218="E",15%,IF(AB218="D",VLOOKUP($G218,'[1]Price Components'!$B:$AC,10,0))))))</f>
        <v>0.09</v>
      </c>
      <c r="AD218" s="13">
        <f>ROUND(IF(AC218=0,VLOOKUP($G218,'[1]Price Components'!$B:$AC,11,0),IF(I218="BASIC",X218*AC218,AA218*AC218)),0)</f>
        <v>20700</v>
      </c>
      <c r="AE218" s="13">
        <f>ROUND(VLOOKUP($G218,'[1]Price Components'!$B:$AC,12,0),0)</f>
        <v>1085</v>
      </c>
      <c r="AF218" s="16">
        <f>VLOOKUP($G218,'[1]Price Components'!$B:$AC,14,0)</f>
        <v>7.92E-3</v>
      </c>
      <c r="AG218" s="16">
        <f>VLOOKUP($G218,'[1]Price Components'!$B:$AC,15,0)</f>
        <v>8.2979999999999998E-3</v>
      </c>
      <c r="AH218" s="13">
        <f t="shared" si="12"/>
        <v>1731</v>
      </c>
      <c r="AI218" s="13">
        <f t="shared" si="13"/>
        <v>7740</v>
      </c>
      <c r="AJ218" s="13">
        <f t="shared" si="14"/>
        <v>1705</v>
      </c>
      <c r="AK218" s="13">
        <f t="shared" si="15"/>
        <v>11176</v>
      </c>
      <c r="AL218" s="13">
        <f t="shared" si="16"/>
        <v>262961</v>
      </c>
      <c r="AM218" s="17"/>
      <c r="AN218" s="18">
        <v>230000</v>
      </c>
      <c r="AO218" s="18">
        <f t="shared" si="17"/>
        <v>0</v>
      </c>
      <c r="AP218" s="18"/>
    </row>
    <row r="219" spans="1:42" ht="15.75" customHeight="1" x14ac:dyDescent="0.3">
      <c r="A219" s="7"/>
      <c r="B219" s="7"/>
      <c r="C219" s="7" t="str">
        <f t="shared" si="0"/>
        <v>VBFV60RR35</v>
      </c>
      <c r="D219" s="7" t="s">
        <v>37</v>
      </c>
      <c r="E219" s="7"/>
      <c r="F219" s="8">
        <v>350</v>
      </c>
      <c r="G219" s="9" t="s">
        <v>75</v>
      </c>
      <c r="H219" s="7" t="str">
        <f>VLOOKUP(G219,'[1]Price Components'!B:C,2,0)</f>
        <v>Uttaranchal</v>
      </c>
      <c r="I219" s="7" t="str">
        <f>VLOOKUP(G219,'[1]Price Components'!B:D,3,0)</f>
        <v>EX-SHOWROOM</v>
      </c>
      <c r="J219" s="10">
        <f t="shared" si="1"/>
        <v>4.250111140272414E-2</v>
      </c>
      <c r="K219" s="11">
        <v>144158</v>
      </c>
      <c r="L219" s="12">
        <f t="shared" si="2"/>
        <v>-340.81178474330227</v>
      </c>
      <c r="M219" s="11">
        <v>143817.1882152567</v>
      </c>
      <c r="N219" s="8">
        <v>1279</v>
      </c>
      <c r="O219" s="13">
        <f>VLOOKUP(G219,'[1]Price Components'!B:E,4,0)</f>
        <v>764</v>
      </c>
      <c r="P219" s="13">
        <f t="shared" si="3"/>
        <v>145860</v>
      </c>
      <c r="Q219" s="14">
        <f>ROUND(IF(F219&lt;500,VLOOKUP(G219,'[1]Price Components'!B:G,5,0),VLOOKUP(G219,'[1]Price Components'!B:G,6,0)),2)</f>
        <v>1772</v>
      </c>
      <c r="R219" s="11">
        <f t="shared" si="4"/>
        <v>7935</v>
      </c>
      <c r="S219" s="13">
        <v>0</v>
      </c>
      <c r="T219" s="11">
        <f t="shared" si="5"/>
        <v>7935</v>
      </c>
      <c r="U219" s="11">
        <v>292</v>
      </c>
      <c r="V219" s="13">
        <f t="shared" si="6"/>
        <v>8227</v>
      </c>
      <c r="W219" s="13">
        <f t="shared" si="7"/>
        <v>186701</v>
      </c>
      <c r="X219" s="13">
        <f t="shared" si="8"/>
        <v>155859</v>
      </c>
      <c r="Y219" s="13">
        <f t="shared" si="9"/>
        <v>43641</v>
      </c>
      <c r="Z219" s="11">
        <v>0</v>
      </c>
      <c r="AA219" s="13">
        <f t="shared" ref="AA219:AA224" si="60">ROUND(X219+Y219+Z219,0)</f>
        <v>199500</v>
      </c>
      <c r="AB219" s="13" t="str">
        <f t="shared" si="44"/>
        <v>B</v>
      </c>
      <c r="AC219" s="15">
        <f>IF(AB219="A",VLOOKUP($G219,'[1]Price Components'!$B:$AC,7,0),IF(AB219="B",VLOOKUP($G219,'[1]Price Components'!$B:$AC,8,0),IF(AB219="C",VLOOKUP($G219,'[1]Price Components'!$B:$AC,9,0),IF(AB219="E",15%,IF(AB219="D",VLOOKUP($G219,'[1]Price Components'!$B:$AC,10,0))))))</f>
        <v>0.09</v>
      </c>
      <c r="AD219" s="13">
        <f>ROUND(IF(AC219=0,VLOOKUP($G219,'[1]Price Components'!$B:$AC,11,0),IF(I219="BASIC",X219*AC219,AA219*AC219)),0)</f>
        <v>17955</v>
      </c>
      <c r="AE219" s="13">
        <f>ROUND(VLOOKUP($G219,'[1]Price Components'!$B:$AC,12,0),0)</f>
        <v>1080</v>
      </c>
      <c r="AF219" s="16">
        <f>VLOOKUP($G219,'[1]Price Components'!$B:$AC,14,0)</f>
        <v>7.92E-3</v>
      </c>
      <c r="AG219" s="16">
        <f>VLOOKUP($G219,'[1]Price Components'!$B:$AC,15,0)</f>
        <v>8.2979999999999998E-3</v>
      </c>
      <c r="AH219" s="13">
        <f t="shared" si="12"/>
        <v>1501</v>
      </c>
      <c r="AI219" s="13">
        <f t="shared" si="13"/>
        <v>7740</v>
      </c>
      <c r="AJ219" s="13">
        <f t="shared" si="14"/>
        <v>1663</v>
      </c>
      <c r="AK219" s="13">
        <f t="shared" si="15"/>
        <v>10904</v>
      </c>
      <c r="AL219" s="13">
        <f t="shared" si="16"/>
        <v>229439</v>
      </c>
      <c r="AM219" s="17"/>
      <c r="AN219" s="18">
        <v>199500</v>
      </c>
      <c r="AO219" s="18">
        <f t="shared" si="17"/>
        <v>0</v>
      </c>
      <c r="AP219" s="18"/>
    </row>
    <row r="220" spans="1:42" ht="15.75" customHeight="1" x14ac:dyDescent="0.3">
      <c r="A220" s="7"/>
      <c r="B220" s="7"/>
      <c r="C220" s="7" t="str">
        <f t="shared" si="0"/>
        <v>VBFV60EB35</v>
      </c>
      <c r="D220" s="7" t="s">
        <v>39</v>
      </c>
      <c r="E220" s="7"/>
      <c r="F220" s="8">
        <v>350</v>
      </c>
      <c r="G220" s="9" t="s">
        <v>75</v>
      </c>
      <c r="H220" s="7" t="str">
        <f>VLOOKUP(G220,'[1]Price Components'!B:C,2,0)</f>
        <v>Uttaranchal</v>
      </c>
      <c r="I220" s="7" t="str">
        <f>VLOOKUP(G220,'[1]Price Components'!B:D,3,0)</f>
        <v>EX-SHOWROOM</v>
      </c>
      <c r="J220" s="10">
        <f t="shared" si="1"/>
        <v>4.250111140272414E-2</v>
      </c>
      <c r="K220" s="11">
        <v>144158</v>
      </c>
      <c r="L220" s="12">
        <f t="shared" si="2"/>
        <v>-340.81178474330227</v>
      </c>
      <c r="M220" s="11">
        <v>143817.1882152567</v>
      </c>
      <c r="N220" s="8">
        <v>1279</v>
      </c>
      <c r="O220" s="13">
        <f>VLOOKUP(G220,'[1]Price Components'!B:E,4,0)</f>
        <v>764</v>
      </c>
      <c r="P220" s="13">
        <f t="shared" si="3"/>
        <v>145860</v>
      </c>
      <c r="Q220" s="14">
        <f>ROUND(IF(F220&lt;500,VLOOKUP(G220,'[1]Price Components'!B:G,5,0),VLOOKUP(G220,'[1]Price Components'!B:G,6,0)),2)</f>
        <v>1772</v>
      </c>
      <c r="R220" s="11">
        <f t="shared" si="4"/>
        <v>7935</v>
      </c>
      <c r="S220" s="13">
        <v>0</v>
      </c>
      <c r="T220" s="11">
        <f t="shared" si="5"/>
        <v>7935</v>
      </c>
      <c r="U220" s="11">
        <v>292</v>
      </c>
      <c r="V220" s="13">
        <f t="shared" si="6"/>
        <v>8227</v>
      </c>
      <c r="W220" s="13">
        <f t="shared" si="7"/>
        <v>186701</v>
      </c>
      <c r="X220" s="13">
        <f t="shared" si="8"/>
        <v>155859</v>
      </c>
      <c r="Y220" s="13">
        <f t="shared" si="9"/>
        <v>43641</v>
      </c>
      <c r="Z220" s="11">
        <v>0</v>
      </c>
      <c r="AA220" s="13">
        <f t="shared" si="60"/>
        <v>199500</v>
      </c>
      <c r="AB220" s="13" t="str">
        <f t="shared" si="44"/>
        <v>B</v>
      </c>
      <c r="AC220" s="15">
        <f>IF(AB220="A",VLOOKUP($G220,'[1]Price Components'!$B:$AC,7,0),IF(AB220="B",VLOOKUP($G220,'[1]Price Components'!$B:$AC,8,0),IF(AB220="C",VLOOKUP($G220,'[1]Price Components'!$B:$AC,9,0),IF(AB220="E",15%,IF(AB220="D",VLOOKUP($G220,'[1]Price Components'!$B:$AC,10,0))))))</f>
        <v>0.09</v>
      </c>
      <c r="AD220" s="13">
        <f>ROUND(IF(AC220=0,VLOOKUP($G220,'[1]Price Components'!$B:$AC,11,0),IF(I220="BASIC",X220*AC220,AA220*AC220)),0)</f>
        <v>17955</v>
      </c>
      <c r="AE220" s="13">
        <f>ROUND(VLOOKUP($G220,'[1]Price Components'!$B:$AC,12,0),0)</f>
        <v>1080</v>
      </c>
      <c r="AF220" s="16">
        <f>VLOOKUP($G220,'[1]Price Components'!$B:$AC,14,0)</f>
        <v>7.92E-3</v>
      </c>
      <c r="AG220" s="16">
        <f>VLOOKUP($G220,'[1]Price Components'!$B:$AC,15,0)</f>
        <v>8.2979999999999998E-3</v>
      </c>
      <c r="AH220" s="13">
        <f t="shared" si="12"/>
        <v>1501</v>
      </c>
      <c r="AI220" s="13">
        <f t="shared" si="13"/>
        <v>7740</v>
      </c>
      <c r="AJ220" s="13">
        <f t="shared" si="14"/>
        <v>1663</v>
      </c>
      <c r="AK220" s="13">
        <f t="shared" si="15"/>
        <v>10904</v>
      </c>
      <c r="AL220" s="13">
        <f t="shared" si="16"/>
        <v>229439</v>
      </c>
      <c r="AM220" s="17"/>
      <c r="AN220" s="18">
        <v>199500</v>
      </c>
      <c r="AO220" s="18">
        <f t="shared" si="17"/>
        <v>0</v>
      </c>
      <c r="AP220" s="18"/>
    </row>
    <row r="221" spans="1:42" ht="15.75" customHeight="1" x14ac:dyDescent="0.3">
      <c r="A221" s="7"/>
      <c r="B221" s="7"/>
      <c r="C221" s="7" t="str">
        <f t="shared" si="0"/>
        <v>VBFV60HG35</v>
      </c>
      <c r="D221" s="7" t="s">
        <v>40</v>
      </c>
      <c r="E221" s="7"/>
      <c r="F221" s="8">
        <v>350</v>
      </c>
      <c r="G221" s="9" t="s">
        <v>75</v>
      </c>
      <c r="H221" s="7" t="str">
        <f>VLOOKUP(G221,'[1]Price Components'!B:C,2,0)</f>
        <v>Uttaranchal</v>
      </c>
      <c r="I221" s="7" t="str">
        <f>VLOOKUP(G221,'[1]Price Components'!B:D,3,0)</f>
        <v>EX-SHOWROOM</v>
      </c>
      <c r="J221" s="10">
        <f t="shared" si="1"/>
        <v>4.2498821804471905E-2</v>
      </c>
      <c r="K221" s="11">
        <v>147492</v>
      </c>
      <c r="L221" s="12">
        <f t="shared" si="2"/>
        <v>-339.85307059722254</v>
      </c>
      <c r="M221" s="11">
        <v>147152.14692940278</v>
      </c>
      <c r="N221" s="8">
        <v>1279</v>
      </c>
      <c r="O221" s="13">
        <f>VLOOKUP(G221,'[1]Price Components'!B:E,4,0)</f>
        <v>764</v>
      </c>
      <c r="P221" s="13">
        <f t="shared" si="3"/>
        <v>149195</v>
      </c>
      <c r="Q221" s="14">
        <f>ROUND(IF(F221&lt;500,VLOOKUP(G221,'[1]Price Components'!B:G,5,0),VLOOKUP(G221,'[1]Price Components'!B:G,6,0)),2)</f>
        <v>1772</v>
      </c>
      <c r="R221" s="11">
        <f t="shared" si="4"/>
        <v>8116</v>
      </c>
      <c r="S221" s="13">
        <v>0</v>
      </c>
      <c r="T221" s="11">
        <f t="shared" si="5"/>
        <v>8116</v>
      </c>
      <c r="U221" s="11">
        <v>292</v>
      </c>
      <c r="V221" s="13">
        <f t="shared" si="6"/>
        <v>8408</v>
      </c>
      <c r="W221" s="13">
        <f t="shared" si="7"/>
        <v>190970</v>
      </c>
      <c r="X221" s="13">
        <f t="shared" si="8"/>
        <v>159375</v>
      </c>
      <c r="Y221" s="13">
        <f t="shared" si="9"/>
        <v>44625</v>
      </c>
      <c r="Z221" s="11">
        <v>0</v>
      </c>
      <c r="AA221" s="13">
        <f t="shared" si="60"/>
        <v>204000</v>
      </c>
      <c r="AB221" s="13" t="str">
        <f t="shared" si="44"/>
        <v>C</v>
      </c>
      <c r="AC221" s="15">
        <f>IF(AB221="A",VLOOKUP($G221,'[1]Price Components'!$B:$AC,7,0),IF(AB221="B",VLOOKUP($G221,'[1]Price Components'!$B:$AC,8,0),IF(AB221="C",VLOOKUP($G221,'[1]Price Components'!$B:$AC,9,0),IF(AB221="E",15%,IF(AB221="D",VLOOKUP($G221,'[1]Price Components'!$B:$AC,10,0))))))</f>
        <v>0.09</v>
      </c>
      <c r="AD221" s="13">
        <f>ROUND(IF(AC221=0,VLOOKUP($G221,'[1]Price Components'!$B:$AC,11,0),IF(I221="BASIC",X221*AC221,AA221*AC221)),0)</f>
        <v>18360</v>
      </c>
      <c r="AE221" s="13">
        <f>ROUND(VLOOKUP($G221,'[1]Price Components'!$B:$AC,12,0),0)</f>
        <v>1080</v>
      </c>
      <c r="AF221" s="16">
        <f>VLOOKUP($G221,'[1]Price Components'!$B:$AC,14,0)</f>
        <v>7.92E-3</v>
      </c>
      <c r="AG221" s="16">
        <f>VLOOKUP($G221,'[1]Price Components'!$B:$AC,15,0)</f>
        <v>8.2979999999999998E-3</v>
      </c>
      <c r="AH221" s="13">
        <f t="shared" si="12"/>
        <v>1535</v>
      </c>
      <c r="AI221" s="13">
        <f t="shared" si="13"/>
        <v>7740</v>
      </c>
      <c r="AJ221" s="13">
        <f t="shared" si="14"/>
        <v>1670</v>
      </c>
      <c r="AK221" s="13">
        <f t="shared" si="15"/>
        <v>10945</v>
      </c>
      <c r="AL221" s="13">
        <f t="shared" si="16"/>
        <v>234385</v>
      </c>
      <c r="AM221" s="17"/>
      <c r="AN221" s="18">
        <v>204000</v>
      </c>
      <c r="AO221" s="18">
        <f t="shared" si="17"/>
        <v>0</v>
      </c>
      <c r="AP221" s="18"/>
    </row>
    <row r="222" spans="1:42" ht="15.75" customHeight="1" x14ac:dyDescent="0.3">
      <c r="A222" s="7"/>
      <c r="B222" s="7"/>
      <c r="C222" s="7" t="str">
        <f t="shared" si="0"/>
        <v>VBFV60SE35</v>
      </c>
      <c r="D222" s="7" t="s">
        <v>41</v>
      </c>
      <c r="E222" s="7"/>
      <c r="F222" s="8">
        <v>350</v>
      </c>
      <c r="G222" s="9" t="s">
        <v>75</v>
      </c>
      <c r="H222" s="7" t="str">
        <f>VLOOKUP(G222,'[1]Price Components'!B:C,2,0)</f>
        <v>Uttaranchal</v>
      </c>
      <c r="I222" s="7" t="str">
        <f>VLOOKUP(G222,'[1]Price Components'!B:D,3,0)</f>
        <v>EX-SHOWROOM</v>
      </c>
      <c r="J222" s="10">
        <f t="shared" si="1"/>
        <v>4.250061774153694E-2</v>
      </c>
      <c r="K222" s="11">
        <v>156384</v>
      </c>
      <c r="L222" s="12">
        <f t="shared" si="2"/>
        <v>-340.77044054950238</v>
      </c>
      <c r="M222" s="11">
        <v>156043.2295594505</v>
      </c>
      <c r="N222" s="8">
        <v>1279</v>
      </c>
      <c r="O222" s="13">
        <f>VLOOKUP(G222,'[1]Price Components'!B:E,4,0)</f>
        <v>764</v>
      </c>
      <c r="P222" s="13">
        <f t="shared" si="3"/>
        <v>158086</v>
      </c>
      <c r="Q222" s="14">
        <f>ROUND(IF(F222&lt;500,VLOOKUP(G222,'[1]Price Components'!B:G,5,0),VLOOKUP(G222,'[1]Price Components'!B:G,6,0)),2)</f>
        <v>1772</v>
      </c>
      <c r="R222" s="11">
        <f t="shared" si="4"/>
        <v>8600</v>
      </c>
      <c r="S222" s="13">
        <v>0</v>
      </c>
      <c r="T222" s="11">
        <f t="shared" si="5"/>
        <v>8600</v>
      </c>
      <c r="U222" s="11">
        <v>292</v>
      </c>
      <c r="V222" s="13">
        <f t="shared" si="6"/>
        <v>8892</v>
      </c>
      <c r="W222" s="13">
        <f t="shared" si="7"/>
        <v>202350</v>
      </c>
      <c r="X222" s="13">
        <f t="shared" si="8"/>
        <v>168750</v>
      </c>
      <c r="Y222" s="13">
        <f t="shared" si="9"/>
        <v>47250</v>
      </c>
      <c r="Z222" s="11">
        <v>0</v>
      </c>
      <c r="AA222" s="13">
        <f t="shared" si="60"/>
        <v>216000</v>
      </c>
      <c r="AB222" s="13" t="str">
        <f t="shared" si="44"/>
        <v>C</v>
      </c>
      <c r="AC222" s="15">
        <f>IF(AB222="A",VLOOKUP($G222,'[1]Price Components'!$B:$AC,7,0),IF(AB222="B",VLOOKUP($G222,'[1]Price Components'!$B:$AC,8,0),IF(AB222="C",VLOOKUP($G222,'[1]Price Components'!$B:$AC,9,0),IF(AB222="E",15%,IF(AB222="D",VLOOKUP($G222,'[1]Price Components'!$B:$AC,10,0))))))</f>
        <v>0.09</v>
      </c>
      <c r="AD222" s="13">
        <f>ROUND(IF(AC222=0,VLOOKUP($G222,'[1]Price Components'!$B:$AC,11,0),IF(I222="BASIC",X222*AC222,AA222*AC222)),0)</f>
        <v>19440</v>
      </c>
      <c r="AE222" s="13">
        <f>ROUND(VLOOKUP($G222,'[1]Price Components'!$B:$AC,12,0),0)</f>
        <v>1080</v>
      </c>
      <c r="AF222" s="16">
        <f>VLOOKUP($G222,'[1]Price Components'!$B:$AC,14,0)</f>
        <v>7.92E-3</v>
      </c>
      <c r="AG222" s="16">
        <f>VLOOKUP($G222,'[1]Price Components'!$B:$AC,15,0)</f>
        <v>8.2979999999999998E-3</v>
      </c>
      <c r="AH222" s="13">
        <f t="shared" si="12"/>
        <v>1625</v>
      </c>
      <c r="AI222" s="13">
        <f t="shared" si="13"/>
        <v>7740</v>
      </c>
      <c r="AJ222" s="13">
        <f t="shared" si="14"/>
        <v>1686</v>
      </c>
      <c r="AK222" s="13">
        <f t="shared" si="15"/>
        <v>11051</v>
      </c>
      <c r="AL222" s="13">
        <f t="shared" si="16"/>
        <v>247571</v>
      </c>
      <c r="AM222" s="17"/>
      <c r="AN222" s="18">
        <v>216000</v>
      </c>
      <c r="AO222" s="18">
        <f t="shared" si="17"/>
        <v>0</v>
      </c>
      <c r="AP222" s="18"/>
    </row>
    <row r="223" spans="1:42" ht="15.75" customHeight="1" x14ac:dyDescent="0.3">
      <c r="A223" s="7"/>
      <c r="B223" s="7"/>
      <c r="C223" s="7" t="str">
        <f t="shared" si="0"/>
        <v>VBFV60GM35</v>
      </c>
      <c r="D223" s="7" t="s">
        <v>42</v>
      </c>
      <c r="E223" s="7"/>
      <c r="F223" s="8">
        <v>350</v>
      </c>
      <c r="G223" s="9" t="s">
        <v>75</v>
      </c>
      <c r="H223" s="7" t="str">
        <f>VLOOKUP(G223,'[1]Price Components'!B:C,2,0)</f>
        <v>Uttaranchal</v>
      </c>
      <c r="I223" s="7" t="str">
        <f>VLOOKUP(G223,'[1]Price Components'!B:D,3,0)</f>
        <v>EX-SHOWROOM</v>
      </c>
      <c r="J223" s="10">
        <f t="shared" si="1"/>
        <v>4.250183749436897E-2</v>
      </c>
      <c r="K223" s="11">
        <v>163052</v>
      </c>
      <c r="L223" s="12">
        <f t="shared" si="2"/>
        <v>-340.77158770215465</v>
      </c>
      <c r="M223" s="11">
        <v>162711.22841229785</v>
      </c>
      <c r="N223" s="8">
        <v>1279</v>
      </c>
      <c r="O223" s="13">
        <f>VLOOKUP(G223,'[1]Price Components'!B:E,4,0)</f>
        <v>764</v>
      </c>
      <c r="P223" s="13">
        <f t="shared" si="3"/>
        <v>164754</v>
      </c>
      <c r="Q223" s="14">
        <f>ROUND(IF(F223&lt;500,VLOOKUP(G223,'[1]Price Components'!B:G,5,0),VLOOKUP(G223,'[1]Price Components'!B:G,6,0)),2)</f>
        <v>1772</v>
      </c>
      <c r="R223" s="11">
        <f t="shared" si="4"/>
        <v>8963</v>
      </c>
      <c r="S223" s="13">
        <v>0</v>
      </c>
      <c r="T223" s="11">
        <f t="shared" si="5"/>
        <v>8963</v>
      </c>
      <c r="U223" s="11">
        <v>292</v>
      </c>
      <c r="V223" s="13">
        <f t="shared" si="6"/>
        <v>9255</v>
      </c>
      <c r="W223" s="13">
        <f t="shared" si="7"/>
        <v>210885</v>
      </c>
      <c r="X223" s="13">
        <f t="shared" si="8"/>
        <v>175781</v>
      </c>
      <c r="Y223" s="13">
        <f t="shared" si="9"/>
        <v>49219</v>
      </c>
      <c r="Z223" s="11">
        <v>0</v>
      </c>
      <c r="AA223" s="13">
        <f t="shared" si="60"/>
        <v>225000</v>
      </c>
      <c r="AB223" s="13" t="str">
        <f t="shared" si="44"/>
        <v>C</v>
      </c>
      <c r="AC223" s="15">
        <f>IF(AB223="A",VLOOKUP($G223,'[1]Price Components'!$B:$AC,7,0),IF(AB223="B",VLOOKUP($G223,'[1]Price Components'!$B:$AC,8,0),IF(AB223="C",VLOOKUP($G223,'[1]Price Components'!$B:$AC,9,0),IF(AB223="E",15%,IF(AB223="D",VLOOKUP($G223,'[1]Price Components'!$B:$AC,10,0))))))</f>
        <v>0.09</v>
      </c>
      <c r="AD223" s="13">
        <f>ROUND(IF(AC223=0,VLOOKUP($G223,'[1]Price Components'!$B:$AC,11,0),IF(I223="BASIC",X223*AC223,AA223*AC223)),0)</f>
        <v>20250</v>
      </c>
      <c r="AE223" s="13">
        <f>ROUND(VLOOKUP($G223,'[1]Price Components'!$B:$AC,12,0),0)</f>
        <v>1080</v>
      </c>
      <c r="AF223" s="16">
        <f>VLOOKUP($G223,'[1]Price Components'!$B:$AC,14,0)</f>
        <v>7.92E-3</v>
      </c>
      <c r="AG223" s="16">
        <f>VLOOKUP($G223,'[1]Price Components'!$B:$AC,15,0)</f>
        <v>8.2979999999999998E-3</v>
      </c>
      <c r="AH223" s="13">
        <f t="shared" si="12"/>
        <v>1693</v>
      </c>
      <c r="AI223" s="13">
        <f t="shared" si="13"/>
        <v>7740</v>
      </c>
      <c r="AJ223" s="13">
        <f t="shared" si="14"/>
        <v>1698</v>
      </c>
      <c r="AK223" s="13">
        <f t="shared" si="15"/>
        <v>11131</v>
      </c>
      <c r="AL223" s="13">
        <f t="shared" si="16"/>
        <v>257461</v>
      </c>
      <c r="AM223" s="17"/>
      <c r="AN223" s="18">
        <v>225000</v>
      </c>
      <c r="AO223" s="18">
        <f t="shared" si="17"/>
        <v>0</v>
      </c>
      <c r="AP223" s="18"/>
    </row>
    <row r="224" spans="1:42" ht="15.75" customHeight="1" x14ac:dyDescent="0.3">
      <c r="A224" s="7"/>
      <c r="B224" s="7"/>
      <c r="C224" s="7" t="str">
        <f t="shared" si="0"/>
        <v>VBFV60SB35</v>
      </c>
      <c r="D224" s="7" t="s">
        <v>43</v>
      </c>
      <c r="E224" s="7"/>
      <c r="F224" s="8">
        <v>350</v>
      </c>
      <c r="G224" s="9" t="s">
        <v>75</v>
      </c>
      <c r="H224" s="7" t="str">
        <f>VLOOKUP(G224,'[1]Price Components'!B:C,2,0)</f>
        <v>Uttaranchal</v>
      </c>
      <c r="I224" s="7" t="str">
        <f>VLOOKUP(G224,'[1]Price Components'!B:D,3,0)</f>
        <v>EX-SHOWROOM</v>
      </c>
      <c r="J224" s="10">
        <f t="shared" si="1"/>
        <v>4.250183749436897E-2</v>
      </c>
      <c r="K224" s="11">
        <v>163052</v>
      </c>
      <c r="L224" s="12">
        <f t="shared" si="2"/>
        <v>-340.77158770215465</v>
      </c>
      <c r="M224" s="11">
        <v>162711.22841229785</v>
      </c>
      <c r="N224" s="8">
        <v>1279</v>
      </c>
      <c r="O224" s="13">
        <f>VLOOKUP(G224,'[1]Price Components'!B:E,4,0)</f>
        <v>764</v>
      </c>
      <c r="P224" s="13">
        <f t="shared" si="3"/>
        <v>164754</v>
      </c>
      <c r="Q224" s="14">
        <f>ROUND(IF(F224&lt;500,VLOOKUP(G224,'[1]Price Components'!B:G,5,0),VLOOKUP(G224,'[1]Price Components'!B:G,6,0)),2)</f>
        <v>1772</v>
      </c>
      <c r="R224" s="11">
        <f t="shared" si="4"/>
        <v>8963</v>
      </c>
      <c r="S224" s="13">
        <v>0</v>
      </c>
      <c r="T224" s="11">
        <f t="shared" si="5"/>
        <v>8963</v>
      </c>
      <c r="U224" s="11">
        <v>292</v>
      </c>
      <c r="V224" s="13">
        <f t="shared" si="6"/>
        <v>9255</v>
      </c>
      <c r="W224" s="13">
        <f t="shared" si="7"/>
        <v>210885</v>
      </c>
      <c r="X224" s="13">
        <f t="shared" si="8"/>
        <v>175781</v>
      </c>
      <c r="Y224" s="13">
        <f t="shared" si="9"/>
        <v>49219</v>
      </c>
      <c r="Z224" s="11">
        <v>0</v>
      </c>
      <c r="AA224" s="13">
        <f t="shared" si="60"/>
        <v>225000</v>
      </c>
      <c r="AB224" s="13" t="str">
        <f t="shared" si="44"/>
        <v>C</v>
      </c>
      <c r="AC224" s="15">
        <f>IF(AB224="A",VLOOKUP($G224,'[1]Price Components'!$B:$AC,7,0),IF(AB224="B",VLOOKUP($G224,'[1]Price Components'!$B:$AC,8,0),IF(AB224="C",VLOOKUP($G224,'[1]Price Components'!$B:$AC,9,0),IF(AB224="E",15%,IF(AB224="D",VLOOKUP($G224,'[1]Price Components'!$B:$AC,10,0))))))</f>
        <v>0.09</v>
      </c>
      <c r="AD224" s="13">
        <f>ROUND(IF(AC224=0,VLOOKUP($G224,'[1]Price Components'!$B:$AC,11,0),IF(I224="BASIC",X224*AC224,AA224*AC224)),0)</f>
        <v>20250</v>
      </c>
      <c r="AE224" s="13">
        <f>ROUND(VLOOKUP($G224,'[1]Price Components'!$B:$AC,12,0),0)</f>
        <v>1080</v>
      </c>
      <c r="AF224" s="16">
        <f>VLOOKUP($G224,'[1]Price Components'!$B:$AC,14,0)</f>
        <v>7.92E-3</v>
      </c>
      <c r="AG224" s="16">
        <f>VLOOKUP($G224,'[1]Price Components'!$B:$AC,15,0)</f>
        <v>8.2979999999999998E-3</v>
      </c>
      <c r="AH224" s="13">
        <f t="shared" si="12"/>
        <v>1693</v>
      </c>
      <c r="AI224" s="13">
        <f t="shared" si="13"/>
        <v>7740</v>
      </c>
      <c r="AJ224" s="13">
        <f t="shared" si="14"/>
        <v>1698</v>
      </c>
      <c r="AK224" s="13">
        <f t="shared" si="15"/>
        <v>11131</v>
      </c>
      <c r="AL224" s="13">
        <f t="shared" si="16"/>
        <v>257461</v>
      </c>
      <c r="AM224" s="17"/>
      <c r="AN224" s="18">
        <v>225000</v>
      </c>
      <c r="AO224" s="18">
        <f t="shared" si="17"/>
        <v>0</v>
      </c>
      <c r="AP224" s="18"/>
    </row>
    <row r="225" spans="1:42" ht="15.75" customHeight="1" x14ac:dyDescent="0.3">
      <c r="A225" s="7"/>
      <c r="B225" s="7"/>
      <c r="C225" s="7" t="str">
        <f t="shared" si="0"/>
        <v>VBFV60DN35</v>
      </c>
      <c r="D225" s="7" t="s">
        <v>44</v>
      </c>
      <c r="E225" s="7"/>
      <c r="F225" s="8">
        <v>350</v>
      </c>
      <c r="G225" s="9" t="s">
        <v>75</v>
      </c>
      <c r="H225" s="7" t="str">
        <f>VLOOKUP(G225,'[1]Price Components'!B:C,2,0)</f>
        <v>Uttaranchal</v>
      </c>
      <c r="I225" s="7" t="str">
        <f>VLOOKUP(G225,'[1]Price Components'!B:D,3,0)</f>
        <v>EX-SHOWROOM</v>
      </c>
      <c r="J225" s="10">
        <f t="shared" si="1"/>
        <v>4.2499118852839149E-2</v>
      </c>
      <c r="K225" s="11">
        <v>166757</v>
      </c>
      <c r="L225" s="12">
        <f t="shared" si="2"/>
        <v>-340.77443240245339</v>
      </c>
      <c r="M225" s="11">
        <v>166416.22556759755</v>
      </c>
      <c r="N225" s="8">
        <v>1279</v>
      </c>
      <c r="O225" s="13">
        <f>VLOOKUP(G225,'[1]Price Components'!B:E,4,0)</f>
        <v>764</v>
      </c>
      <c r="P225" s="13">
        <f t="shared" si="3"/>
        <v>168459</v>
      </c>
      <c r="Q225" s="14">
        <f>ROUND(IF(F225&lt;500,VLOOKUP(G225,'[1]Price Components'!B:G,5,0),VLOOKUP(G225,'[1]Price Components'!B:G,6,0)),2)</f>
        <v>1772</v>
      </c>
      <c r="R225" s="11">
        <f t="shared" si="4"/>
        <v>9164</v>
      </c>
      <c r="S225" s="13">
        <v>0</v>
      </c>
      <c r="T225" s="11">
        <f t="shared" si="5"/>
        <v>9164</v>
      </c>
      <c r="U225" s="11">
        <v>292</v>
      </c>
      <c r="V225" s="13">
        <f t="shared" si="6"/>
        <v>9456</v>
      </c>
      <c r="W225" s="13">
        <f t="shared" si="7"/>
        <v>215628</v>
      </c>
      <c r="X225" s="13">
        <f t="shared" si="8"/>
        <v>179687</v>
      </c>
      <c r="Y225" s="13">
        <f t="shared" si="9"/>
        <v>50312</v>
      </c>
      <c r="Z225" s="11">
        <v>0</v>
      </c>
      <c r="AA225" s="13">
        <f>ROUND(X225+Y225+Z225,0)+1</f>
        <v>230000</v>
      </c>
      <c r="AB225" s="13" t="str">
        <f t="shared" si="44"/>
        <v>C</v>
      </c>
      <c r="AC225" s="15">
        <f>IF(AB225="A",VLOOKUP($G225,'[1]Price Components'!$B:$AC,7,0),IF(AB225="B",VLOOKUP($G225,'[1]Price Components'!$B:$AC,8,0),IF(AB225="C",VLOOKUP($G225,'[1]Price Components'!$B:$AC,9,0),IF(AB225="E",15%,IF(AB225="D",VLOOKUP($G225,'[1]Price Components'!$B:$AC,10,0))))))</f>
        <v>0.09</v>
      </c>
      <c r="AD225" s="13">
        <f>ROUND(IF(AC225=0,VLOOKUP($G225,'[1]Price Components'!$B:$AC,11,0),IF(I225="BASIC",X225*AC225,AA225*AC225)),0)</f>
        <v>20700</v>
      </c>
      <c r="AE225" s="13">
        <f>ROUND(VLOOKUP($G225,'[1]Price Components'!$B:$AC,12,0),0)</f>
        <v>1080</v>
      </c>
      <c r="AF225" s="16">
        <f>VLOOKUP($G225,'[1]Price Components'!$B:$AC,14,0)</f>
        <v>7.92E-3</v>
      </c>
      <c r="AG225" s="16">
        <f>VLOOKUP($G225,'[1]Price Components'!$B:$AC,15,0)</f>
        <v>8.2979999999999998E-3</v>
      </c>
      <c r="AH225" s="13">
        <f t="shared" si="12"/>
        <v>1731</v>
      </c>
      <c r="AI225" s="13">
        <f t="shared" si="13"/>
        <v>7740</v>
      </c>
      <c r="AJ225" s="13">
        <f t="shared" si="14"/>
        <v>1705</v>
      </c>
      <c r="AK225" s="13">
        <f t="shared" si="15"/>
        <v>11176</v>
      </c>
      <c r="AL225" s="13">
        <f t="shared" si="16"/>
        <v>262956</v>
      </c>
      <c r="AM225" s="17"/>
      <c r="AN225" s="18">
        <v>230000</v>
      </c>
      <c r="AO225" s="18">
        <f t="shared" si="17"/>
        <v>0</v>
      </c>
      <c r="AP225" s="18"/>
    </row>
    <row r="226" spans="1:42" ht="15.75" customHeight="1" x14ac:dyDescent="0.3">
      <c r="A226" s="7"/>
      <c r="B226" s="7"/>
      <c r="C226" s="7" t="str">
        <f t="shared" si="0"/>
        <v>VBFV60RR36</v>
      </c>
      <c r="D226" s="7" t="s">
        <v>37</v>
      </c>
      <c r="E226" s="7"/>
      <c r="F226" s="8">
        <v>350</v>
      </c>
      <c r="G226" s="9" t="s">
        <v>76</v>
      </c>
      <c r="H226" s="7" t="str">
        <f>VLOOKUP(G226,'[1]Price Components'!B:C,2,0)</f>
        <v>Telangana</v>
      </c>
      <c r="I226" s="7" t="str">
        <f>VLOOKUP(G226,'[1]Price Components'!B:D,3,0)</f>
        <v>EX-SHOWROOM</v>
      </c>
      <c r="J226" s="10">
        <f t="shared" si="1"/>
        <v>4.249771174354499E-2</v>
      </c>
      <c r="K226" s="11">
        <v>144158</v>
      </c>
      <c r="L226" s="12">
        <f t="shared" si="2"/>
        <v>971.67563669139054</v>
      </c>
      <c r="M226" s="11">
        <v>145129.67563669139</v>
      </c>
      <c r="N226" s="8">
        <v>1279</v>
      </c>
      <c r="O226" s="13">
        <f>VLOOKUP(G226,'[1]Price Components'!B:E,4,0)</f>
        <v>400</v>
      </c>
      <c r="P226" s="13">
        <f t="shared" si="3"/>
        <v>146809</v>
      </c>
      <c r="Q226" s="14">
        <f>ROUND(IF(F226&lt;500,VLOOKUP(G226,'[1]Price Components'!B:G,5,0),VLOOKUP(G226,'[1]Price Components'!B:G,6,0)),2)</f>
        <v>772</v>
      </c>
      <c r="R226" s="11">
        <f t="shared" si="4"/>
        <v>7986</v>
      </c>
      <c r="S226" s="13">
        <v>0</v>
      </c>
      <c r="T226" s="11">
        <f t="shared" si="5"/>
        <v>7986</v>
      </c>
      <c r="U226" s="11">
        <v>292</v>
      </c>
      <c r="V226" s="13">
        <f t="shared" si="6"/>
        <v>8278</v>
      </c>
      <c r="W226" s="13">
        <f t="shared" si="7"/>
        <v>187916</v>
      </c>
      <c r="X226" s="13">
        <f t="shared" si="8"/>
        <v>155859</v>
      </c>
      <c r="Y226" s="13">
        <f t="shared" si="9"/>
        <v>43641</v>
      </c>
      <c r="Z226" s="11">
        <v>0</v>
      </c>
      <c r="AA226" s="13">
        <f t="shared" ref="AA226:AA228" si="61">ROUND(X226+Y226+Z226,0)</f>
        <v>199500</v>
      </c>
      <c r="AB226" s="13" t="str">
        <f t="shared" si="44"/>
        <v>B</v>
      </c>
      <c r="AC226" s="15">
        <f>IF(AB226="A",VLOOKUP($G226,'[1]Price Components'!$B:$AC,7,0),IF(AB226="B",VLOOKUP($G226,'[1]Price Components'!$B:$AC,8,0),IF(AB226="C",VLOOKUP($G226,'[1]Price Components'!$B:$AC,9,0),IF(AB226="E",15%,IF(AB226="D",VLOOKUP($G226,'[1]Price Components'!$B:$AC,10,0))))))</f>
        <v>0.12</v>
      </c>
      <c r="AD226" s="13">
        <f>ROUND(IF(AC226=0,VLOOKUP($G226,'[1]Price Components'!$B:$AC,11,0),IF(I226="BASIC",X226*AC226,AA226*AC226)),0)</f>
        <v>23940</v>
      </c>
      <c r="AE226" s="13">
        <f>ROUND(VLOOKUP($G226,'[1]Price Components'!$B:$AC,12,0),0)</f>
        <v>990</v>
      </c>
      <c r="AF226" s="16">
        <f>VLOOKUP($G226,'[1]Price Components'!$B:$AC,14,0)</f>
        <v>7.92E-3</v>
      </c>
      <c r="AG226" s="16">
        <f>VLOOKUP($G226,'[1]Price Components'!$B:$AC,15,0)</f>
        <v>8.2979999999999998E-3</v>
      </c>
      <c r="AH226" s="13">
        <f t="shared" si="12"/>
        <v>1501</v>
      </c>
      <c r="AI226" s="13">
        <f t="shared" si="13"/>
        <v>7740</v>
      </c>
      <c r="AJ226" s="13">
        <f t="shared" si="14"/>
        <v>1663</v>
      </c>
      <c r="AK226" s="13">
        <f t="shared" si="15"/>
        <v>10904</v>
      </c>
      <c r="AL226" s="13">
        <f t="shared" si="16"/>
        <v>235334</v>
      </c>
      <c r="AM226" s="17"/>
      <c r="AN226" s="18">
        <v>199500</v>
      </c>
      <c r="AO226" s="18">
        <f t="shared" si="17"/>
        <v>0</v>
      </c>
      <c r="AP226" s="18"/>
    </row>
    <row r="227" spans="1:42" ht="15.75" customHeight="1" x14ac:dyDescent="0.3">
      <c r="A227" s="7"/>
      <c r="B227" s="7"/>
      <c r="C227" s="7" t="str">
        <f t="shared" si="0"/>
        <v>VBFV60EB36</v>
      </c>
      <c r="D227" s="7" t="s">
        <v>39</v>
      </c>
      <c r="E227" s="7"/>
      <c r="F227" s="8">
        <v>350</v>
      </c>
      <c r="G227" s="9" t="s">
        <v>76</v>
      </c>
      <c r="H227" s="7" t="str">
        <f>VLOOKUP(G227,'[1]Price Components'!B:C,2,0)</f>
        <v>Telangana</v>
      </c>
      <c r="I227" s="7" t="str">
        <f>VLOOKUP(G227,'[1]Price Components'!B:D,3,0)</f>
        <v>EX-SHOWROOM</v>
      </c>
      <c r="J227" s="10">
        <f t="shared" si="1"/>
        <v>4.249771174354499E-2</v>
      </c>
      <c r="K227" s="11">
        <v>144158</v>
      </c>
      <c r="L227" s="12">
        <f t="shared" si="2"/>
        <v>971.67563669139054</v>
      </c>
      <c r="M227" s="11">
        <v>145129.67563669139</v>
      </c>
      <c r="N227" s="8">
        <v>1279</v>
      </c>
      <c r="O227" s="13">
        <f>VLOOKUP(G227,'[1]Price Components'!B:E,4,0)</f>
        <v>400</v>
      </c>
      <c r="P227" s="13">
        <f t="shared" si="3"/>
        <v>146809</v>
      </c>
      <c r="Q227" s="14">
        <f>ROUND(IF(F227&lt;500,VLOOKUP(G227,'[1]Price Components'!B:G,5,0),VLOOKUP(G227,'[1]Price Components'!B:G,6,0)),2)</f>
        <v>772</v>
      </c>
      <c r="R227" s="11">
        <f t="shared" si="4"/>
        <v>7986</v>
      </c>
      <c r="S227" s="13">
        <v>0</v>
      </c>
      <c r="T227" s="11">
        <f t="shared" si="5"/>
        <v>7986</v>
      </c>
      <c r="U227" s="11">
        <v>292</v>
      </c>
      <c r="V227" s="13">
        <f t="shared" si="6"/>
        <v>8278</v>
      </c>
      <c r="W227" s="13">
        <f t="shared" si="7"/>
        <v>187916</v>
      </c>
      <c r="X227" s="13">
        <f t="shared" si="8"/>
        <v>155859</v>
      </c>
      <c r="Y227" s="13">
        <f t="shared" si="9"/>
        <v>43641</v>
      </c>
      <c r="Z227" s="11">
        <v>0</v>
      </c>
      <c r="AA227" s="13">
        <f t="shared" si="61"/>
        <v>199500</v>
      </c>
      <c r="AB227" s="13" t="str">
        <f t="shared" si="44"/>
        <v>B</v>
      </c>
      <c r="AC227" s="15">
        <f>IF(AB227="A",VLOOKUP($G227,'[1]Price Components'!$B:$AC,7,0),IF(AB227="B",VLOOKUP($G227,'[1]Price Components'!$B:$AC,8,0),IF(AB227="C",VLOOKUP($G227,'[1]Price Components'!$B:$AC,9,0),IF(AB227="E",15%,IF(AB227="D",VLOOKUP($G227,'[1]Price Components'!$B:$AC,10,0))))))</f>
        <v>0.12</v>
      </c>
      <c r="AD227" s="13">
        <f>ROUND(IF(AC227=0,VLOOKUP($G227,'[1]Price Components'!$B:$AC,11,0),IF(I227="BASIC",X227*AC227,AA227*AC227)),0)</f>
        <v>23940</v>
      </c>
      <c r="AE227" s="13">
        <f>ROUND(VLOOKUP($G227,'[1]Price Components'!$B:$AC,12,0),0)</f>
        <v>990</v>
      </c>
      <c r="AF227" s="16">
        <f>VLOOKUP($G227,'[1]Price Components'!$B:$AC,14,0)</f>
        <v>7.92E-3</v>
      </c>
      <c r="AG227" s="16">
        <f>VLOOKUP($G227,'[1]Price Components'!$B:$AC,15,0)</f>
        <v>8.2979999999999998E-3</v>
      </c>
      <c r="AH227" s="13">
        <f t="shared" si="12"/>
        <v>1501</v>
      </c>
      <c r="AI227" s="13">
        <f t="shared" si="13"/>
        <v>7740</v>
      </c>
      <c r="AJ227" s="13">
        <f t="shared" si="14"/>
        <v>1663</v>
      </c>
      <c r="AK227" s="13">
        <f t="shared" si="15"/>
        <v>10904</v>
      </c>
      <c r="AL227" s="13">
        <f t="shared" si="16"/>
        <v>235334</v>
      </c>
      <c r="AM227" s="17"/>
      <c r="AN227" s="18">
        <v>199500</v>
      </c>
      <c r="AO227" s="18">
        <f t="shared" si="17"/>
        <v>0</v>
      </c>
      <c r="AP227" s="18"/>
    </row>
    <row r="228" spans="1:42" ht="15.75" customHeight="1" x14ac:dyDescent="0.3">
      <c r="A228" s="7"/>
      <c r="B228" s="7"/>
      <c r="C228" s="7" t="str">
        <f t="shared" si="0"/>
        <v>VBFV60HG36</v>
      </c>
      <c r="D228" s="7" t="s">
        <v>40</v>
      </c>
      <c r="E228" s="7"/>
      <c r="F228" s="8">
        <v>350</v>
      </c>
      <c r="G228" s="9" t="s">
        <v>76</v>
      </c>
      <c r="H228" s="7" t="str">
        <f>VLOOKUP(G228,'[1]Price Components'!B:C,2,0)</f>
        <v>Telangana</v>
      </c>
      <c r="I228" s="7" t="str">
        <f>VLOOKUP(G228,'[1]Price Components'!B:D,3,0)</f>
        <v>EX-SHOWROOM</v>
      </c>
      <c r="J228" s="10">
        <f t="shared" si="1"/>
        <v>4.2501157750685546E-2</v>
      </c>
      <c r="K228" s="11">
        <v>147492</v>
      </c>
      <c r="L228" s="12">
        <f t="shared" si="2"/>
        <v>972.4095678392041</v>
      </c>
      <c r="M228" s="11">
        <v>148464.4095678392</v>
      </c>
      <c r="N228" s="8">
        <v>1279</v>
      </c>
      <c r="O228" s="13">
        <f>VLOOKUP(G228,'[1]Price Components'!B:E,4,0)</f>
        <v>400</v>
      </c>
      <c r="P228" s="13">
        <f t="shared" si="3"/>
        <v>150143</v>
      </c>
      <c r="Q228" s="14">
        <f>ROUND(IF(F228&lt;500,VLOOKUP(G228,'[1]Price Components'!B:G,5,0),VLOOKUP(G228,'[1]Price Components'!B:G,6,0)),2)</f>
        <v>772</v>
      </c>
      <c r="R228" s="11">
        <f t="shared" si="4"/>
        <v>8168</v>
      </c>
      <c r="S228" s="13">
        <v>0</v>
      </c>
      <c r="T228" s="11">
        <f t="shared" si="5"/>
        <v>8168</v>
      </c>
      <c r="U228" s="11">
        <v>292</v>
      </c>
      <c r="V228" s="13">
        <f t="shared" si="6"/>
        <v>8460</v>
      </c>
      <c r="W228" s="13">
        <f t="shared" si="7"/>
        <v>192183</v>
      </c>
      <c r="X228" s="13">
        <f t="shared" si="8"/>
        <v>159375</v>
      </c>
      <c r="Y228" s="13">
        <f t="shared" si="9"/>
        <v>44625</v>
      </c>
      <c r="Z228" s="11">
        <v>0</v>
      </c>
      <c r="AA228" s="13">
        <f t="shared" si="61"/>
        <v>204000</v>
      </c>
      <c r="AB228" s="13" t="str">
        <f t="shared" si="44"/>
        <v>C</v>
      </c>
      <c r="AC228" s="15">
        <f>IF(AB228="A",VLOOKUP($G228,'[1]Price Components'!$B:$AC,7,0),IF(AB228="B",VLOOKUP($G228,'[1]Price Components'!$B:$AC,8,0),IF(AB228="C",VLOOKUP($G228,'[1]Price Components'!$B:$AC,9,0),IF(AB228="E",15%,IF(AB228="D",VLOOKUP($G228,'[1]Price Components'!$B:$AC,10,0))))))</f>
        <v>0.12</v>
      </c>
      <c r="AD228" s="13">
        <f>ROUND(IF(AC228=0,VLOOKUP($G228,'[1]Price Components'!$B:$AC,11,0),IF(I228="BASIC",X228*AC228,AA228*AC228)),0)</f>
        <v>24480</v>
      </c>
      <c r="AE228" s="13">
        <f>ROUND(VLOOKUP($G228,'[1]Price Components'!$B:$AC,12,0),0)</f>
        <v>990</v>
      </c>
      <c r="AF228" s="16">
        <f>VLOOKUP($G228,'[1]Price Components'!$B:$AC,14,0)</f>
        <v>7.92E-3</v>
      </c>
      <c r="AG228" s="16">
        <f>VLOOKUP($G228,'[1]Price Components'!$B:$AC,15,0)</f>
        <v>8.2979999999999998E-3</v>
      </c>
      <c r="AH228" s="13">
        <f t="shared" si="12"/>
        <v>1535</v>
      </c>
      <c r="AI228" s="13">
        <f t="shared" si="13"/>
        <v>7740</v>
      </c>
      <c r="AJ228" s="13">
        <f t="shared" si="14"/>
        <v>1670</v>
      </c>
      <c r="AK228" s="13">
        <f t="shared" si="15"/>
        <v>10945</v>
      </c>
      <c r="AL228" s="13">
        <f t="shared" si="16"/>
        <v>240415</v>
      </c>
      <c r="AM228" s="17"/>
      <c r="AN228" s="18">
        <v>204000</v>
      </c>
      <c r="AO228" s="18">
        <f t="shared" si="17"/>
        <v>0</v>
      </c>
      <c r="AP228" s="18"/>
    </row>
    <row r="229" spans="1:42" ht="15.75" customHeight="1" x14ac:dyDescent="0.3">
      <c r="A229" s="7"/>
      <c r="B229" s="7"/>
      <c r="C229" s="7" t="str">
        <f t="shared" si="0"/>
        <v>VBFV60SE36</v>
      </c>
      <c r="D229" s="7" t="s">
        <v>41</v>
      </c>
      <c r="E229" s="7"/>
      <c r="F229" s="8">
        <v>350</v>
      </c>
      <c r="G229" s="9" t="s">
        <v>76</v>
      </c>
      <c r="H229" s="7" t="str">
        <f>VLOOKUP(G229,'[1]Price Components'!B:C,2,0)</f>
        <v>Telangana</v>
      </c>
      <c r="I229" s="7" t="str">
        <f>VLOOKUP(G229,'[1]Price Components'!B:D,3,0)</f>
        <v>EX-SHOWROOM</v>
      </c>
      <c r="J229" s="10">
        <f t="shared" si="1"/>
        <v>4.2497691143817178E-2</v>
      </c>
      <c r="K229" s="11">
        <v>156384</v>
      </c>
      <c r="L229" s="12">
        <f t="shared" si="2"/>
        <v>971.19513750041369</v>
      </c>
      <c r="M229" s="11">
        <v>157355.19513750041</v>
      </c>
      <c r="N229" s="8">
        <v>1279</v>
      </c>
      <c r="O229" s="13">
        <f>VLOOKUP(G229,'[1]Price Components'!B:E,4,0)</f>
        <v>400</v>
      </c>
      <c r="P229" s="13">
        <f t="shared" si="3"/>
        <v>159034</v>
      </c>
      <c r="Q229" s="14">
        <f>ROUND(IF(F229&lt;500,VLOOKUP(G229,'[1]Price Components'!B:G,5,0),VLOOKUP(G229,'[1]Price Components'!B:G,6,0)),2)</f>
        <v>772</v>
      </c>
      <c r="R229" s="11">
        <f t="shared" si="4"/>
        <v>8651</v>
      </c>
      <c r="S229" s="13">
        <v>0</v>
      </c>
      <c r="T229" s="11">
        <f t="shared" si="5"/>
        <v>8651</v>
      </c>
      <c r="U229" s="11">
        <v>292</v>
      </c>
      <c r="V229" s="13">
        <f t="shared" si="6"/>
        <v>8943</v>
      </c>
      <c r="W229" s="13">
        <f t="shared" si="7"/>
        <v>203564</v>
      </c>
      <c r="X229" s="13">
        <f t="shared" si="8"/>
        <v>168749</v>
      </c>
      <c r="Y229" s="13">
        <f t="shared" si="9"/>
        <v>47250</v>
      </c>
      <c r="Z229" s="11">
        <v>0</v>
      </c>
      <c r="AA229" s="13">
        <f>ROUND(X229+Y229+Z229,0)+1</f>
        <v>216000</v>
      </c>
      <c r="AB229" s="13" t="str">
        <f t="shared" si="44"/>
        <v>C</v>
      </c>
      <c r="AC229" s="15">
        <f>IF(AB229="A",VLOOKUP($G229,'[1]Price Components'!$B:$AC,7,0),IF(AB229="B",VLOOKUP($G229,'[1]Price Components'!$B:$AC,8,0),IF(AB229="C",VLOOKUP($G229,'[1]Price Components'!$B:$AC,9,0),IF(AB229="E",15%,IF(AB229="D",VLOOKUP($G229,'[1]Price Components'!$B:$AC,10,0))))))</f>
        <v>0.12</v>
      </c>
      <c r="AD229" s="13">
        <f>ROUND(IF(AC229=0,VLOOKUP($G229,'[1]Price Components'!$B:$AC,11,0),IF(I229="BASIC",X229*AC229,AA229*AC229)),0)</f>
        <v>25920</v>
      </c>
      <c r="AE229" s="13">
        <f>ROUND(VLOOKUP($G229,'[1]Price Components'!$B:$AC,12,0),0)</f>
        <v>990</v>
      </c>
      <c r="AF229" s="16">
        <f>VLOOKUP($G229,'[1]Price Components'!$B:$AC,14,0)</f>
        <v>7.92E-3</v>
      </c>
      <c r="AG229" s="16">
        <f>VLOOKUP($G229,'[1]Price Components'!$B:$AC,15,0)</f>
        <v>8.2979999999999998E-3</v>
      </c>
      <c r="AH229" s="13">
        <f t="shared" si="12"/>
        <v>1625</v>
      </c>
      <c r="AI229" s="13">
        <f t="shared" si="13"/>
        <v>7740</v>
      </c>
      <c r="AJ229" s="13">
        <f t="shared" si="14"/>
        <v>1686</v>
      </c>
      <c r="AK229" s="13">
        <f t="shared" si="15"/>
        <v>11051</v>
      </c>
      <c r="AL229" s="13">
        <f t="shared" si="16"/>
        <v>253961</v>
      </c>
      <c r="AM229" s="17"/>
      <c r="AN229" s="18">
        <v>216000</v>
      </c>
      <c r="AO229" s="18">
        <f t="shared" si="17"/>
        <v>0</v>
      </c>
      <c r="AP229" s="18"/>
    </row>
    <row r="230" spans="1:42" ht="15.75" customHeight="1" x14ac:dyDescent="0.3">
      <c r="A230" s="7"/>
      <c r="B230" s="7"/>
      <c r="C230" s="7" t="str">
        <f t="shared" si="0"/>
        <v>VBFV60GM36</v>
      </c>
      <c r="D230" s="7" t="s">
        <v>42</v>
      </c>
      <c r="E230" s="7"/>
      <c r="F230" s="8">
        <v>350</v>
      </c>
      <c r="G230" s="9" t="s">
        <v>76</v>
      </c>
      <c r="H230" s="7" t="str">
        <f>VLOOKUP(G230,'[1]Price Components'!B:C,2,0)</f>
        <v>Telangana</v>
      </c>
      <c r="I230" s="7" t="str">
        <f>VLOOKUP(G230,'[1]Price Components'!B:D,3,0)</f>
        <v>EX-SHOWROOM</v>
      </c>
      <c r="J230" s="10">
        <f t="shared" si="1"/>
        <v>4.2498821310702498E-2</v>
      </c>
      <c r="K230" s="11">
        <v>163052</v>
      </c>
      <c r="L230" s="12">
        <f t="shared" si="2"/>
        <v>971.94104497955414</v>
      </c>
      <c r="M230" s="11">
        <v>164023.94104497955</v>
      </c>
      <c r="N230" s="8">
        <v>1279</v>
      </c>
      <c r="O230" s="13">
        <f>VLOOKUP(G230,'[1]Price Components'!B:E,4,0)</f>
        <v>400</v>
      </c>
      <c r="P230" s="13">
        <f t="shared" si="3"/>
        <v>165703</v>
      </c>
      <c r="Q230" s="14">
        <f>ROUND(IF(F230&lt;500,VLOOKUP(G230,'[1]Price Components'!B:G,5,0),VLOOKUP(G230,'[1]Price Components'!B:G,6,0)),2)</f>
        <v>772</v>
      </c>
      <c r="R230" s="11">
        <f t="shared" si="4"/>
        <v>9014</v>
      </c>
      <c r="S230" s="13">
        <v>0</v>
      </c>
      <c r="T230" s="11">
        <f t="shared" si="5"/>
        <v>9014</v>
      </c>
      <c r="U230" s="11">
        <v>292</v>
      </c>
      <c r="V230" s="13">
        <f t="shared" si="6"/>
        <v>9306</v>
      </c>
      <c r="W230" s="13">
        <f t="shared" si="7"/>
        <v>212100</v>
      </c>
      <c r="X230" s="13">
        <f t="shared" si="8"/>
        <v>175781</v>
      </c>
      <c r="Y230" s="13">
        <f t="shared" si="9"/>
        <v>49219</v>
      </c>
      <c r="Z230" s="11">
        <v>0</v>
      </c>
      <c r="AA230" s="13">
        <f t="shared" ref="AA230:AA231" si="62">ROUND(X230+Y230+Z230,0)</f>
        <v>225000</v>
      </c>
      <c r="AB230" s="13" t="str">
        <f t="shared" si="44"/>
        <v>C</v>
      </c>
      <c r="AC230" s="15">
        <f>IF(AB230="A",VLOOKUP($G230,'[1]Price Components'!$B:$AC,7,0),IF(AB230="B",VLOOKUP($G230,'[1]Price Components'!$B:$AC,8,0),IF(AB230="C",VLOOKUP($G230,'[1]Price Components'!$B:$AC,9,0),IF(AB230="E",15%,IF(AB230="D",VLOOKUP($G230,'[1]Price Components'!$B:$AC,10,0))))))</f>
        <v>0.12</v>
      </c>
      <c r="AD230" s="13">
        <f>ROUND(IF(AC230=0,VLOOKUP($G230,'[1]Price Components'!$B:$AC,11,0),IF(I230="BASIC",X230*AC230,AA230*AC230)),0)</f>
        <v>27000</v>
      </c>
      <c r="AE230" s="13">
        <f>ROUND(VLOOKUP($G230,'[1]Price Components'!$B:$AC,12,0),0)</f>
        <v>990</v>
      </c>
      <c r="AF230" s="16">
        <f>VLOOKUP($G230,'[1]Price Components'!$B:$AC,14,0)</f>
        <v>7.92E-3</v>
      </c>
      <c r="AG230" s="16">
        <f>VLOOKUP($G230,'[1]Price Components'!$B:$AC,15,0)</f>
        <v>8.2979999999999998E-3</v>
      </c>
      <c r="AH230" s="13">
        <f t="shared" si="12"/>
        <v>1693</v>
      </c>
      <c r="AI230" s="13">
        <f t="shared" si="13"/>
        <v>7740</v>
      </c>
      <c r="AJ230" s="13">
        <f t="shared" si="14"/>
        <v>1698</v>
      </c>
      <c r="AK230" s="13">
        <f t="shared" si="15"/>
        <v>11131</v>
      </c>
      <c r="AL230" s="13">
        <f t="shared" si="16"/>
        <v>264121</v>
      </c>
      <c r="AM230" s="17"/>
      <c r="AN230" s="18">
        <v>225000</v>
      </c>
      <c r="AO230" s="18">
        <f t="shared" si="17"/>
        <v>0</v>
      </c>
      <c r="AP230" s="18"/>
    </row>
    <row r="231" spans="1:42" ht="15.75" customHeight="1" x14ac:dyDescent="0.3">
      <c r="A231" s="7"/>
      <c r="B231" s="7"/>
      <c r="C231" s="7" t="str">
        <f t="shared" si="0"/>
        <v>VBFV60SB36</v>
      </c>
      <c r="D231" s="7" t="s">
        <v>43</v>
      </c>
      <c r="E231" s="7"/>
      <c r="F231" s="8">
        <v>350</v>
      </c>
      <c r="G231" s="9" t="s">
        <v>76</v>
      </c>
      <c r="H231" s="7" t="str">
        <f>VLOOKUP(G231,'[1]Price Components'!B:C,2,0)</f>
        <v>Telangana</v>
      </c>
      <c r="I231" s="7" t="str">
        <f>VLOOKUP(G231,'[1]Price Components'!B:D,3,0)</f>
        <v>EX-SHOWROOM</v>
      </c>
      <c r="J231" s="10">
        <f t="shared" si="1"/>
        <v>4.2498821310702498E-2</v>
      </c>
      <c r="K231" s="11">
        <v>163052</v>
      </c>
      <c r="L231" s="12">
        <f t="shared" si="2"/>
        <v>971.94104497955414</v>
      </c>
      <c r="M231" s="11">
        <v>164023.94104497955</v>
      </c>
      <c r="N231" s="8">
        <v>1279</v>
      </c>
      <c r="O231" s="13">
        <f>VLOOKUP(G231,'[1]Price Components'!B:E,4,0)</f>
        <v>400</v>
      </c>
      <c r="P231" s="13">
        <f t="shared" si="3"/>
        <v>165703</v>
      </c>
      <c r="Q231" s="14">
        <f>ROUND(IF(F231&lt;500,VLOOKUP(G231,'[1]Price Components'!B:G,5,0),VLOOKUP(G231,'[1]Price Components'!B:G,6,0)),2)</f>
        <v>772</v>
      </c>
      <c r="R231" s="11">
        <f t="shared" si="4"/>
        <v>9014</v>
      </c>
      <c r="S231" s="13">
        <v>0</v>
      </c>
      <c r="T231" s="11">
        <f t="shared" si="5"/>
        <v>9014</v>
      </c>
      <c r="U231" s="11">
        <v>292</v>
      </c>
      <c r="V231" s="13">
        <f t="shared" si="6"/>
        <v>9306</v>
      </c>
      <c r="W231" s="13">
        <f t="shared" si="7"/>
        <v>212100</v>
      </c>
      <c r="X231" s="13">
        <f t="shared" si="8"/>
        <v>175781</v>
      </c>
      <c r="Y231" s="13">
        <f t="shared" si="9"/>
        <v>49219</v>
      </c>
      <c r="Z231" s="11">
        <v>0</v>
      </c>
      <c r="AA231" s="13">
        <f t="shared" si="62"/>
        <v>225000</v>
      </c>
      <c r="AB231" s="13" t="str">
        <f t="shared" si="44"/>
        <v>C</v>
      </c>
      <c r="AC231" s="15">
        <f>IF(AB231="A",VLOOKUP($G231,'[1]Price Components'!$B:$AC,7,0),IF(AB231="B",VLOOKUP($G231,'[1]Price Components'!$B:$AC,8,0),IF(AB231="C",VLOOKUP($G231,'[1]Price Components'!$B:$AC,9,0),IF(AB231="E",15%,IF(AB231="D",VLOOKUP($G231,'[1]Price Components'!$B:$AC,10,0))))))</f>
        <v>0.12</v>
      </c>
      <c r="AD231" s="13">
        <f>ROUND(IF(AC231=0,VLOOKUP($G231,'[1]Price Components'!$B:$AC,11,0),IF(I231="BASIC",X231*AC231,AA231*AC231)),0)</f>
        <v>27000</v>
      </c>
      <c r="AE231" s="13">
        <f>ROUND(VLOOKUP($G231,'[1]Price Components'!$B:$AC,12,0),0)</f>
        <v>990</v>
      </c>
      <c r="AF231" s="16">
        <f>VLOOKUP($G231,'[1]Price Components'!$B:$AC,14,0)</f>
        <v>7.92E-3</v>
      </c>
      <c r="AG231" s="16">
        <f>VLOOKUP($G231,'[1]Price Components'!$B:$AC,15,0)</f>
        <v>8.2979999999999998E-3</v>
      </c>
      <c r="AH231" s="13">
        <f t="shared" si="12"/>
        <v>1693</v>
      </c>
      <c r="AI231" s="13">
        <f t="shared" si="13"/>
        <v>7740</v>
      </c>
      <c r="AJ231" s="13">
        <f t="shared" si="14"/>
        <v>1698</v>
      </c>
      <c r="AK231" s="13">
        <f t="shared" si="15"/>
        <v>11131</v>
      </c>
      <c r="AL231" s="13">
        <f t="shared" si="16"/>
        <v>264121</v>
      </c>
      <c r="AM231" s="17"/>
      <c r="AN231" s="18">
        <v>225000</v>
      </c>
      <c r="AO231" s="18">
        <f t="shared" si="17"/>
        <v>0</v>
      </c>
      <c r="AP231" s="18"/>
    </row>
    <row r="232" spans="1:42" ht="15.75" customHeight="1" x14ac:dyDescent="0.3">
      <c r="A232" s="7"/>
      <c r="B232" s="7"/>
      <c r="C232" s="7" t="str">
        <f t="shared" si="0"/>
        <v>VBFV60DN36</v>
      </c>
      <c r="D232" s="7" t="s">
        <v>44</v>
      </c>
      <c r="E232" s="7"/>
      <c r="F232" s="8">
        <v>350</v>
      </c>
      <c r="G232" s="9" t="s">
        <v>76</v>
      </c>
      <c r="H232" s="7" t="str">
        <f>VLOOKUP(G232,'[1]Price Components'!B:C,2,0)</f>
        <v>Telangana</v>
      </c>
      <c r="I232" s="7" t="str">
        <f>VLOOKUP(G232,'[1]Price Components'!B:D,3,0)</f>
        <v>EX-SHOWROOM</v>
      </c>
      <c r="J232" s="10">
        <f t="shared" si="1"/>
        <v>4.250118750605282E-2</v>
      </c>
      <c r="K232" s="11">
        <v>166757</v>
      </c>
      <c r="L232" s="12">
        <f t="shared" si="2"/>
        <v>971.20543966646073</v>
      </c>
      <c r="M232" s="11">
        <v>167728.20543966646</v>
      </c>
      <c r="N232" s="8">
        <v>1279</v>
      </c>
      <c r="O232" s="13">
        <f>VLOOKUP(G232,'[1]Price Components'!B:E,4,0)</f>
        <v>400</v>
      </c>
      <c r="P232" s="13">
        <f t="shared" si="3"/>
        <v>169407</v>
      </c>
      <c r="Q232" s="14">
        <f>ROUND(IF(F232&lt;500,VLOOKUP(G232,'[1]Price Components'!B:G,5,0),VLOOKUP(G232,'[1]Price Components'!B:G,6,0)),2)</f>
        <v>772</v>
      </c>
      <c r="R232" s="11">
        <f t="shared" si="4"/>
        <v>9216</v>
      </c>
      <c r="S232" s="13">
        <v>0</v>
      </c>
      <c r="T232" s="11">
        <f t="shared" si="5"/>
        <v>9216</v>
      </c>
      <c r="U232" s="11">
        <v>292</v>
      </c>
      <c r="V232" s="13">
        <f t="shared" si="6"/>
        <v>9508</v>
      </c>
      <c r="W232" s="13">
        <f t="shared" si="7"/>
        <v>216841</v>
      </c>
      <c r="X232" s="13">
        <f t="shared" si="8"/>
        <v>179687</v>
      </c>
      <c r="Y232" s="13">
        <f t="shared" si="9"/>
        <v>50312</v>
      </c>
      <c r="Z232" s="11">
        <v>0</v>
      </c>
      <c r="AA232" s="13">
        <f>ROUND(X232+Y232+Z232,0)+1</f>
        <v>230000</v>
      </c>
      <c r="AB232" s="13" t="str">
        <f t="shared" si="44"/>
        <v>C</v>
      </c>
      <c r="AC232" s="15">
        <f>IF(AB232="A",VLOOKUP($G232,'[1]Price Components'!$B:$AC,7,0),IF(AB232="B",VLOOKUP($G232,'[1]Price Components'!$B:$AC,8,0),IF(AB232="C",VLOOKUP($G232,'[1]Price Components'!$B:$AC,9,0),IF(AB232="E",15%,IF(AB232="D",VLOOKUP($G232,'[1]Price Components'!$B:$AC,10,0))))))</f>
        <v>0.12</v>
      </c>
      <c r="AD232" s="13">
        <f>ROUND(IF(AC232=0,VLOOKUP($G232,'[1]Price Components'!$B:$AC,11,0),IF(I232="BASIC",X232*AC232,AA232*AC232)),0)</f>
        <v>27600</v>
      </c>
      <c r="AE232" s="13">
        <f>ROUND(VLOOKUP($G232,'[1]Price Components'!$B:$AC,12,0),0)</f>
        <v>990</v>
      </c>
      <c r="AF232" s="16">
        <f>VLOOKUP($G232,'[1]Price Components'!$B:$AC,14,0)</f>
        <v>7.92E-3</v>
      </c>
      <c r="AG232" s="16">
        <f>VLOOKUP($G232,'[1]Price Components'!$B:$AC,15,0)</f>
        <v>8.2979999999999998E-3</v>
      </c>
      <c r="AH232" s="13">
        <f t="shared" si="12"/>
        <v>1731</v>
      </c>
      <c r="AI232" s="13">
        <f t="shared" si="13"/>
        <v>7740</v>
      </c>
      <c r="AJ232" s="13">
        <f t="shared" si="14"/>
        <v>1705</v>
      </c>
      <c r="AK232" s="13">
        <f t="shared" si="15"/>
        <v>11176</v>
      </c>
      <c r="AL232" s="13">
        <f t="shared" si="16"/>
        <v>269766</v>
      </c>
      <c r="AM232" s="17"/>
      <c r="AN232" s="18">
        <v>230000</v>
      </c>
      <c r="AO232" s="18">
        <f t="shared" si="17"/>
        <v>0</v>
      </c>
      <c r="AP232" s="18"/>
    </row>
    <row r="233" spans="1:42" ht="15.75" customHeight="1" x14ac:dyDescent="0.3">
      <c r="A233" s="7"/>
      <c r="B233" s="7"/>
      <c r="C233" s="7" t="str">
        <f t="shared" si="0"/>
        <v>VBFV60RR37</v>
      </c>
      <c r="D233" s="7" t="s">
        <v>37</v>
      </c>
      <c r="E233" s="7"/>
      <c r="F233" s="8">
        <v>350</v>
      </c>
      <c r="G233" s="9" t="s">
        <v>77</v>
      </c>
      <c r="H233" s="7" t="str">
        <f>VLOOKUP(G233,'[1]Price Components'!B:C,2,0)</f>
        <v>UTTARAKHAND</v>
      </c>
      <c r="I233" s="7" t="str">
        <f>VLOOKUP(G233,'[1]Price Components'!B:D,3,0)</f>
        <v>EX-SHOWROOM</v>
      </c>
      <c r="J233" s="10">
        <f t="shared" si="1"/>
        <v>4.250111140272414E-2</v>
      </c>
      <c r="K233" s="11">
        <v>144158</v>
      </c>
      <c r="L233" s="12">
        <f t="shared" si="2"/>
        <v>-340.81178474330227</v>
      </c>
      <c r="M233" s="11">
        <v>143817.1882152567</v>
      </c>
      <c r="N233" s="8">
        <v>1279</v>
      </c>
      <c r="O233" s="13">
        <f>VLOOKUP(G233,'[1]Price Components'!B:E,4,0)</f>
        <v>764</v>
      </c>
      <c r="P233" s="13">
        <f t="shared" si="3"/>
        <v>145860</v>
      </c>
      <c r="Q233" s="14">
        <f>ROUND(IF(F233&lt;500,VLOOKUP(G233,'[1]Price Components'!B:G,5,0),VLOOKUP(G233,'[1]Price Components'!B:G,6,0)),2)</f>
        <v>1772</v>
      </c>
      <c r="R233" s="11">
        <f t="shared" si="4"/>
        <v>7935</v>
      </c>
      <c r="S233" s="13">
        <v>0</v>
      </c>
      <c r="T233" s="11">
        <f t="shared" si="5"/>
        <v>7935</v>
      </c>
      <c r="U233" s="11">
        <v>292</v>
      </c>
      <c r="V233" s="13">
        <f t="shared" si="6"/>
        <v>8227</v>
      </c>
      <c r="W233" s="13">
        <f t="shared" si="7"/>
        <v>186701</v>
      </c>
      <c r="X233" s="13">
        <f t="shared" si="8"/>
        <v>155859</v>
      </c>
      <c r="Y233" s="13">
        <f t="shared" si="9"/>
        <v>43641</v>
      </c>
      <c r="Z233" s="11">
        <v>0</v>
      </c>
      <c r="AA233" s="13">
        <f t="shared" ref="AA233:AA238" si="63">ROUND(X233+Y233+Z233,0)</f>
        <v>199500</v>
      </c>
      <c r="AB233" s="13" t="str">
        <f t="shared" si="44"/>
        <v>B</v>
      </c>
      <c r="AC233" s="15">
        <f>IF(AB233="A",VLOOKUP($G233,'[1]Price Components'!$B:$AC,7,0),IF(AB233="B",VLOOKUP($G233,'[1]Price Components'!$B:$AC,8,0),IF(AB233="C",VLOOKUP($G233,'[1]Price Components'!$B:$AC,9,0),IF(AB233="E",15%,IF(AB233="D",VLOOKUP($G233,'[1]Price Components'!$B:$AC,10,0))))))</f>
        <v>0.09</v>
      </c>
      <c r="AD233" s="13">
        <f>ROUND(IF(AC233=0,VLOOKUP($G233,'[1]Price Components'!$B:$AC,11,0),IF(I233="BASIC",X233*AC233,AA233*AC233)),0)</f>
        <v>17955</v>
      </c>
      <c r="AE233" s="13">
        <f>ROUND(VLOOKUP($G233,'[1]Price Components'!$B:$AC,12,0),0)</f>
        <v>1080</v>
      </c>
      <c r="AF233" s="16">
        <f>VLOOKUP($G233,'[1]Price Components'!$B:$AC,14,0)</f>
        <v>7.92E-3</v>
      </c>
      <c r="AG233" s="16">
        <f>VLOOKUP($G233,'[1]Price Components'!$B:$AC,15,0)</f>
        <v>8.2979999999999998E-3</v>
      </c>
      <c r="AH233" s="13">
        <f t="shared" si="12"/>
        <v>1501</v>
      </c>
      <c r="AI233" s="13">
        <f t="shared" si="13"/>
        <v>7740</v>
      </c>
      <c r="AJ233" s="13">
        <f t="shared" si="14"/>
        <v>1663</v>
      </c>
      <c r="AK233" s="13">
        <f t="shared" si="15"/>
        <v>10904</v>
      </c>
      <c r="AL233" s="13">
        <f t="shared" si="16"/>
        <v>229439</v>
      </c>
      <c r="AM233" s="17"/>
      <c r="AN233" s="18">
        <v>199500</v>
      </c>
      <c r="AO233" s="18">
        <f t="shared" si="17"/>
        <v>0</v>
      </c>
      <c r="AP233" s="18"/>
    </row>
    <row r="234" spans="1:42" ht="15.75" customHeight="1" x14ac:dyDescent="0.3">
      <c r="A234" s="7"/>
      <c r="B234" s="7"/>
      <c r="C234" s="7" t="str">
        <f t="shared" si="0"/>
        <v>VBFV60EB37</v>
      </c>
      <c r="D234" s="7" t="s">
        <v>39</v>
      </c>
      <c r="E234" s="7"/>
      <c r="F234" s="8">
        <v>350</v>
      </c>
      <c r="G234" s="9" t="s">
        <v>77</v>
      </c>
      <c r="H234" s="7" t="str">
        <f>VLOOKUP(G234,'[1]Price Components'!B:C,2,0)</f>
        <v>UTTARAKHAND</v>
      </c>
      <c r="I234" s="7" t="str">
        <f>VLOOKUP(G234,'[1]Price Components'!B:D,3,0)</f>
        <v>EX-SHOWROOM</v>
      </c>
      <c r="J234" s="10">
        <f t="shared" si="1"/>
        <v>4.250111140272414E-2</v>
      </c>
      <c r="K234" s="11">
        <v>144158</v>
      </c>
      <c r="L234" s="12">
        <f t="shared" si="2"/>
        <v>-340.81178474330227</v>
      </c>
      <c r="M234" s="11">
        <v>143817.1882152567</v>
      </c>
      <c r="N234" s="8">
        <v>1279</v>
      </c>
      <c r="O234" s="13">
        <f>VLOOKUP(G234,'[1]Price Components'!B:E,4,0)</f>
        <v>764</v>
      </c>
      <c r="P234" s="13">
        <f t="shared" si="3"/>
        <v>145860</v>
      </c>
      <c r="Q234" s="14">
        <f>ROUND(IF(F234&lt;500,VLOOKUP(G234,'[1]Price Components'!B:G,5,0),VLOOKUP(G234,'[1]Price Components'!B:G,6,0)),2)</f>
        <v>1772</v>
      </c>
      <c r="R234" s="11">
        <f t="shared" si="4"/>
        <v>7935</v>
      </c>
      <c r="S234" s="13">
        <v>0</v>
      </c>
      <c r="T234" s="11">
        <f t="shared" si="5"/>
        <v>7935</v>
      </c>
      <c r="U234" s="11">
        <v>292</v>
      </c>
      <c r="V234" s="13">
        <f t="shared" si="6"/>
        <v>8227</v>
      </c>
      <c r="W234" s="13">
        <f t="shared" si="7"/>
        <v>186701</v>
      </c>
      <c r="X234" s="13">
        <f t="shared" si="8"/>
        <v>155859</v>
      </c>
      <c r="Y234" s="13">
        <f t="shared" si="9"/>
        <v>43641</v>
      </c>
      <c r="Z234" s="11">
        <v>0</v>
      </c>
      <c r="AA234" s="13">
        <f t="shared" si="63"/>
        <v>199500</v>
      </c>
      <c r="AB234" s="13" t="str">
        <f t="shared" si="44"/>
        <v>B</v>
      </c>
      <c r="AC234" s="15">
        <f>IF(AB234="A",VLOOKUP($G234,'[1]Price Components'!$B:$AC,7,0),IF(AB234="B",VLOOKUP($G234,'[1]Price Components'!$B:$AC,8,0),IF(AB234="C",VLOOKUP($G234,'[1]Price Components'!$B:$AC,9,0),IF(AB234="E",15%,IF(AB234="D",VLOOKUP($G234,'[1]Price Components'!$B:$AC,10,0))))))</f>
        <v>0.09</v>
      </c>
      <c r="AD234" s="13">
        <f>ROUND(IF(AC234=0,VLOOKUP($G234,'[1]Price Components'!$B:$AC,11,0),IF(I234="BASIC",X234*AC234,AA234*AC234)),0)</f>
        <v>17955</v>
      </c>
      <c r="AE234" s="13">
        <f>ROUND(VLOOKUP($G234,'[1]Price Components'!$B:$AC,12,0),0)</f>
        <v>1080</v>
      </c>
      <c r="AF234" s="16">
        <f>VLOOKUP($G234,'[1]Price Components'!$B:$AC,14,0)</f>
        <v>7.92E-3</v>
      </c>
      <c r="AG234" s="16">
        <f>VLOOKUP($G234,'[1]Price Components'!$B:$AC,15,0)</f>
        <v>8.2979999999999998E-3</v>
      </c>
      <c r="AH234" s="13">
        <f t="shared" si="12"/>
        <v>1501</v>
      </c>
      <c r="AI234" s="13">
        <f t="shared" si="13"/>
        <v>7740</v>
      </c>
      <c r="AJ234" s="13">
        <f t="shared" si="14"/>
        <v>1663</v>
      </c>
      <c r="AK234" s="13">
        <f t="shared" si="15"/>
        <v>10904</v>
      </c>
      <c r="AL234" s="13">
        <f t="shared" si="16"/>
        <v>229439</v>
      </c>
      <c r="AM234" s="17"/>
      <c r="AN234" s="18">
        <v>199500</v>
      </c>
      <c r="AO234" s="18">
        <f t="shared" si="17"/>
        <v>0</v>
      </c>
      <c r="AP234" s="18"/>
    </row>
    <row r="235" spans="1:42" ht="15.75" customHeight="1" x14ac:dyDescent="0.3">
      <c r="A235" s="7"/>
      <c r="B235" s="7"/>
      <c r="C235" s="7" t="str">
        <f t="shared" si="0"/>
        <v>VBFV60HG37</v>
      </c>
      <c r="D235" s="7" t="s">
        <v>40</v>
      </c>
      <c r="E235" s="7"/>
      <c r="F235" s="8">
        <v>350</v>
      </c>
      <c r="G235" s="9" t="s">
        <v>77</v>
      </c>
      <c r="H235" s="7" t="str">
        <f>VLOOKUP(G235,'[1]Price Components'!B:C,2,0)</f>
        <v>UTTARAKHAND</v>
      </c>
      <c r="I235" s="7" t="str">
        <f>VLOOKUP(G235,'[1]Price Components'!B:D,3,0)</f>
        <v>EX-SHOWROOM</v>
      </c>
      <c r="J235" s="10">
        <f t="shared" si="1"/>
        <v>4.2498821804471905E-2</v>
      </c>
      <c r="K235" s="11">
        <v>147492</v>
      </c>
      <c r="L235" s="12">
        <f t="shared" si="2"/>
        <v>-339.85307059722254</v>
      </c>
      <c r="M235" s="11">
        <v>147152.14692940278</v>
      </c>
      <c r="N235" s="8">
        <v>1279</v>
      </c>
      <c r="O235" s="13">
        <f>VLOOKUP(G235,'[1]Price Components'!B:E,4,0)</f>
        <v>764</v>
      </c>
      <c r="P235" s="13">
        <f t="shared" si="3"/>
        <v>149195</v>
      </c>
      <c r="Q235" s="14">
        <f>ROUND(IF(F235&lt;500,VLOOKUP(G235,'[1]Price Components'!B:G,5,0),VLOOKUP(G235,'[1]Price Components'!B:G,6,0)),2)</f>
        <v>1772</v>
      </c>
      <c r="R235" s="11">
        <f t="shared" si="4"/>
        <v>8116</v>
      </c>
      <c r="S235" s="13">
        <v>0</v>
      </c>
      <c r="T235" s="11">
        <f t="shared" si="5"/>
        <v>8116</v>
      </c>
      <c r="U235" s="11">
        <v>292</v>
      </c>
      <c r="V235" s="13">
        <f t="shared" si="6"/>
        <v>8408</v>
      </c>
      <c r="W235" s="13">
        <f t="shared" si="7"/>
        <v>190970</v>
      </c>
      <c r="X235" s="13">
        <f t="shared" si="8"/>
        <v>159375</v>
      </c>
      <c r="Y235" s="13">
        <f t="shared" si="9"/>
        <v>44625</v>
      </c>
      <c r="Z235" s="11">
        <v>0</v>
      </c>
      <c r="AA235" s="13">
        <f t="shared" si="63"/>
        <v>204000</v>
      </c>
      <c r="AB235" s="13" t="str">
        <f t="shared" si="44"/>
        <v>C</v>
      </c>
      <c r="AC235" s="15">
        <f>IF(AB235="A",VLOOKUP($G235,'[1]Price Components'!$B:$AC,7,0),IF(AB235="B",VLOOKUP($G235,'[1]Price Components'!$B:$AC,8,0),IF(AB235="C",VLOOKUP($G235,'[1]Price Components'!$B:$AC,9,0),IF(AB235="E",15%,IF(AB235="D",VLOOKUP($G235,'[1]Price Components'!$B:$AC,10,0))))))</f>
        <v>0.09</v>
      </c>
      <c r="AD235" s="13">
        <f>ROUND(IF(AC235=0,VLOOKUP($G235,'[1]Price Components'!$B:$AC,11,0),IF(I235="BASIC",X235*AC235,AA235*AC235)),0)</f>
        <v>18360</v>
      </c>
      <c r="AE235" s="13">
        <f>ROUND(VLOOKUP($G235,'[1]Price Components'!$B:$AC,12,0),0)</f>
        <v>1080</v>
      </c>
      <c r="AF235" s="16">
        <f>VLOOKUP($G235,'[1]Price Components'!$B:$AC,14,0)</f>
        <v>7.92E-3</v>
      </c>
      <c r="AG235" s="16">
        <f>VLOOKUP($G235,'[1]Price Components'!$B:$AC,15,0)</f>
        <v>8.2979999999999998E-3</v>
      </c>
      <c r="AH235" s="13">
        <f t="shared" si="12"/>
        <v>1535</v>
      </c>
      <c r="AI235" s="13">
        <f t="shared" si="13"/>
        <v>7740</v>
      </c>
      <c r="AJ235" s="13">
        <f t="shared" si="14"/>
        <v>1670</v>
      </c>
      <c r="AK235" s="13">
        <f t="shared" si="15"/>
        <v>10945</v>
      </c>
      <c r="AL235" s="13">
        <f t="shared" si="16"/>
        <v>234385</v>
      </c>
      <c r="AM235" s="17"/>
      <c r="AN235" s="18">
        <v>204000</v>
      </c>
      <c r="AO235" s="18">
        <f t="shared" si="17"/>
        <v>0</v>
      </c>
      <c r="AP235" s="18"/>
    </row>
    <row r="236" spans="1:42" ht="15.75" customHeight="1" x14ac:dyDescent="0.3">
      <c r="A236" s="7"/>
      <c r="B236" s="7"/>
      <c r="C236" s="7" t="str">
        <f t="shared" si="0"/>
        <v>VBFV60SE37</v>
      </c>
      <c r="D236" s="7" t="s">
        <v>41</v>
      </c>
      <c r="E236" s="7"/>
      <c r="F236" s="8">
        <v>350</v>
      </c>
      <c r="G236" s="9" t="s">
        <v>77</v>
      </c>
      <c r="H236" s="7" t="str">
        <f>VLOOKUP(G236,'[1]Price Components'!B:C,2,0)</f>
        <v>UTTARAKHAND</v>
      </c>
      <c r="I236" s="7" t="str">
        <f>VLOOKUP(G236,'[1]Price Components'!B:D,3,0)</f>
        <v>EX-SHOWROOM</v>
      </c>
      <c r="J236" s="10">
        <f t="shared" si="1"/>
        <v>4.250061774153694E-2</v>
      </c>
      <c r="K236" s="11">
        <v>156384</v>
      </c>
      <c r="L236" s="12">
        <f t="shared" si="2"/>
        <v>-340.77044054950238</v>
      </c>
      <c r="M236" s="11">
        <v>156043.2295594505</v>
      </c>
      <c r="N236" s="8">
        <v>1279</v>
      </c>
      <c r="O236" s="13">
        <f>VLOOKUP(G236,'[1]Price Components'!B:E,4,0)</f>
        <v>764</v>
      </c>
      <c r="P236" s="13">
        <f t="shared" si="3"/>
        <v>158086</v>
      </c>
      <c r="Q236" s="14">
        <f>ROUND(IF(F236&lt;500,VLOOKUP(G236,'[1]Price Components'!B:G,5,0),VLOOKUP(G236,'[1]Price Components'!B:G,6,0)),2)</f>
        <v>1772</v>
      </c>
      <c r="R236" s="11">
        <f t="shared" si="4"/>
        <v>8600</v>
      </c>
      <c r="S236" s="13">
        <v>0</v>
      </c>
      <c r="T236" s="11">
        <f t="shared" si="5"/>
        <v>8600</v>
      </c>
      <c r="U236" s="11">
        <v>292</v>
      </c>
      <c r="V236" s="13">
        <f t="shared" si="6"/>
        <v>8892</v>
      </c>
      <c r="W236" s="13">
        <f t="shared" si="7"/>
        <v>202350</v>
      </c>
      <c r="X236" s="13">
        <f t="shared" si="8"/>
        <v>168750</v>
      </c>
      <c r="Y236" s="13">
        <f t="shared" si="9"/>
        <v>47250</v>
      </c>
      <c r="Z236" s="11">
        <v>0</v>
      </c>
      <c r="AA236" s="13">
        <f t="shared" si="63"/>
        <v>216000</v>
      </c>
      <c r="AB236" s="13" t="str">
        <f t="shared" si="44"/>
        <v>C</v>
      </c>
      <c r="AC236" s="15">
        <f>IF(AB236="A",VLOOKUP($G236,'[1]Price Components'!$B:$AC,7,0),IF(AB236="B",VLOOKUP($G236,'[1]Price Components'!$B:$AC,8,0),IF(AB236="C",VLOOKUP($G236,'[1]Price Components'!$B:$AC,9,0),IF(AB236="E",15%,IF(AB236="D",VLOOKUP($G236,'[1]Price Components'!$B:$AC,10,0))))))</f>
        <v>0.09</v>
      </c>
      <c r="AD236" s="13">
        <f>ROUND(IF(AC236=0,VLOOKUP($G236,'[1]Price Components'!$B:$AC,11,0),IF(I236="BASIC",X236*AC236,AA236*AC236)),0)</f>
        <v>19440</v>
      </c>
      <c r="AE236" s="13">
        <f>ROUND(VLOOKUP($G236,'[1]Price Components'!$B:$AC,12,0),0)</f>
        <v>1080</v>
      </c>
      <c r="AF236" s="16">
        <f>VLOOKUP($G236,'[1]Price Components'!$B:$AC,14,0)</f>
        <v>7.92E-3</v>
      </c>
      <c r="AG236" s="16">
        <f>VLOOKUP($G236,'[1]Price Components'!$B:$AC,15,0)</f>
        <v>8.2979999999999998E-3</v>
      </c>
      <c r="AH236" s="13">
        <f t="shared" si="12"/>
        <v>1625</v>
      </c>
      <c r="AI236" s="13">
        <f t="shared" si="13"/>
        <v>7740</v>
      </c>
      <c r="AJ236" s="13">
        <f t="shared" si="14"/>
        <v>1686</v>
      </c>
      <c r="AK236" s="13">
        <f t="shared" si="15"/>
        <v>11051</v>
      </c>
      <c r="AL236" s="13">
        <f t="shared" si="16"/>
        <v>247571</v>
      </c>
      <c r="AM236" s="17"/>
      <c r="AN236" s="18">
        <v>216000</v>
      </c>
      <c r="AO236" s="18">
        <f t="shared" si="17"/>
        <v>0</v>
      </c>
      <c r="AP236" s="18"/>
    </row>
    <row r="237" spans="1:42" ht="15.75" customHeight="1" x14ac:dyDescent="0.3">
      <c r="A237" s="7"/>
      <c r="B237" s="7"/>
      <c r="C237" s="7" t="str">
        <f t="shared" si="0"/>
        <v>VBFV60GM37</v>
      </c>
      <c r="D237" s="7" t="s">
        <v>42</v>
      </c>
      <c r="E237" s="7"/>
      <c r="F237" s="8">
        <v>350</v>
      </c>
      <c r="G237" s="9" t="s">
        <v>77</v>
      </c>
      <c r="H237" s="7" t="str">
        <f>VLOOKUP(G237,'[1]Price Components'!B:C,2,0)</f>
        <v>UTTARAKHAND</v>
      </c>
      <c r="I237" s="7" t="str">
        <f>VLOOKUP(G237,'[1]Price Components'!B:D,3,0)</f>
        <v>EX-SHOWROOM</v>
      </c>
      <c r="J237" s="10">
        <f t="shared" si="1"/>
        <v>4.250183749436897E-2</v>
      </c>
      <c r="K237" s="11">
        <v>163052</v>
      </c>
      <c r="L237" s="12">
        <f t="shared" si="2"/>
        <v>-340.77158770215465</v>
      </c>
      <c r="M237" s="11">
        <v>162711.22841229785</v>
      </c>
      <c r="N237" s="8">
        <v>1279</v>
      </c>
      <c r="O237" s="13">
        <f>VLOOKUP(G237,'[1]Price Components'!B:E,4,0)</f>
        <v>764</v>
      </c>
      <c r="P237" s="13">
        <f t="shared" si="3"/>
        <v>164754</v>
      </c>
      <c r="Q237" s="14">
        <f>ROUND(IF(F237&lt;500,VLOOKUP(G237,'[1]Price Components'!B:G,5,0),VLOOKUP(G237,'[1]Price Components'!B:G,6,0)),2)</f>
        <v>1772</v>
      </c>
      <c r="R237" s="11">
        <f t="shared" si="4"/>
        <v>8963</v>
      </c>
      <c r="S237" s="13">
        <v>0</v>
      </c>
      <c r="T237" s="11">
        <f t="shared" si="5"/>
        <v>8963</v>
      </c>
      <c r="U237" s="11">
        <v>292</v>
      </c>
      <c r="V237" s="13">
        <f t="shared" si="6"/>
        <v>9255</v>
      </c>
      <c r="W237" s="13">
        <f t="shared" si="7"/>
        <v>210885</v>
      </c>
      <c r="X237" s="13">
        <f t="shared" si="8"/>
        <v>175781</v>
      </c>
      <c r="Y237" s="13">
        <f t="shared" si="9"/>
        <v>49219</v>
      </c>
      <c r="Z237" s="11">
        <v>0</v>
      </c>
      <c r="AA237" s="13">
        <f t="shared" si="63"/>
        <v>225000</v>
      </c>
      <c r="AB237" s="13" t="str">
        <f t="shared" si="44"/>
        <v>C</v>
      </c>
      <c r="AC237" s="15">
        <f>IF(AB237="A",VLOOKUP($G237,'[1]Price Components'!$B:$AC,7,0),IF(AB237="B",VLOOKUP($G237,'[1]Price Components'!$B:$AC,8,0),IF(AB237="C",VLOOKUP($G237,'[1]Price Components'!$B:$AC,9,0),IF(AB237="E",15%,IF(AB237="D",VLOOKUP($G237,'[1]Price Components'!$B:$AC,10,0))))))</f>
        <v>0.09</v>
      </c>
      <c r="AD237" s="13">
        <f>ROUND(IF(AC237=0,VLOOKUP($G237,'[1]Price Components'!$B:$AC,11,0),IF(I237="BASIC",X237*AC237,AA237*AC237)),0)</f>
        <v>20250</v>
      </c>
      <c r="AE237" s="13">
        <f>ROUND(VLOOKUP($G237,'[1]Price Components'!$B:$AC,12,0),0)</f>
        <v>1080</v>
      </c>
      <c r="AF237" s="16">
        <f>VLOOKUP($G237,'[1]Price Components'!$B:$AC,14,0)</f>
        <v>7.92E-3</v>
      </c>
      <c r="AG237" s="16">
        <f>VLOOKUP($G237,'[1]Price Components'!$B:$AC,15,0)</f>
        <v>8.2979999999999998E-3</v>
      </c>
      <c r="AH237" s="13">
        <f t="shared" si="12"/>
        <v>1693</v>
      </c>
      <c r="AI237" s="13">
        <f t="shared" si="13"/>
        <v>7740</v>
      </c>
      <c r="AJ237" s="13">
        <f t="shared" si="14"/>
        <v>1698</v>
      </c>
      <c r="AK237" s="13">
        <f t="shared" si="15"/>
        <v>11131</v>
      </c>
      <c r="AL237" s="13">
        <f t="shared" si="16"/>
        <v>257461</v>
      </c>
      <c r="AM237" s="17"/>
      <c r="AN237" s="18">
        <v>225000</v>
      </c>
      <c r="AO237" s="18">
        <f t="shared" si="17"/>
        <v>0</v>
      </c>
      <c r="AP237" s="18"/>
    </row>
    <row r="238" spans="1:42" ht="15.75" customHeight="1" x14ac:dyDescent="0.3">
      <c r="A238" s="7"/>
      <c r="B238" s="7"/>
      <c r="C238" s="7" t="str">
        <f t="shared" si="0"/>
        <v>VBFV60SB37</v>
      </c>
      <c r="D238" s="7" t="s">
        <v>43</v>
      </c>
      <c r="E238" s="7"/>
      <c r="F238" s="8">
        <v>350</v>
      </c>
      <c r="G238" s="9" t="s">
        <v>77</v>
      </c>
      <c r="H238" s="7" t="str">
        <f>VLOOKUP(G238,'[1]Price Components'!B:C,2,0)</f>
        <v>UTTARAKHAND</v>
      </c>
      <c r="I238" s="7" t="str">
        <f>VLOOKUP(G238,'[1]Price Components'!B:D,3,0)</f>
        <v>EX-SHOWROOM</v>
      </c>
      <c r="J238" s="10">
        <f t="shared" si="1"/>
        <v>4.250183749436897E-2</v>
      </c>
      <c r="K238" s="11">
        <v>163052</v>
      </c>
      <c r="L238" s="12">
        <f t="shared" si="2"/>
        <v>-340.77158770215465</v>
      </c>
      <c r="M238" s="11">
        <v>162711.22841229785</v>
      </c>
      <c r="N238" s="8">
        <v>1279</v>
      </c>
      <c r="O238" s="13">
        <f>VLOOKUP(G238,'[1]Price Components'!B:E,4,0)</f>
        <v>764</v>
      </c>
      <c r="P238" s="13">
        <f t="shared" si="3"/>
        <v>164754</v>
      </c>
      <c r="Q238" s="14">
        <f>ROUND(IF(F238&lt;500,VLOOKUP(G238,'[1]Price Components'!B:G,5,0),VLOOKUP(G238,'[1]Price Components'!B:G,6,0)),2)</f>
        <v>1772</v>
      </c>
      <c r="R238" s="11">
        <f t="shared" si="4"/>
        <v>8963</v>
      </c>
      <c r="S238" s="13">
        <v>0</v>
      </c>
      <c r="T238" s="11">
        <f t="shared" si="5"/>
        <v>8963</v>
      </c>
      <c r="U238" s="11">
        <v>292</v>
      </c>
      <c r="V238" s="13">
        <f t="shared" si="6"/>
        <v>9255</v>
      </c>
      <c r="W238" s="13">
        <f t="shared" si="7"/>
        <v>210885</v>
      </c>
      <c r="X238" s="13">
        <f t="shared" si="8"/>
        <v>175781</v>
      </c>
      <c r="Y238" s="13">
        <f t="shared" si="9"/>
        <v>49219</v>
      </c>
      <c r="Z238" s="11">
        <v>0</v>
      </c>
      <c r="AA238" s="13">
        <f t="shared" si="63"/>
        <v>225000</v>
      </c>
      <c r="AB238" s="13" t="str">
        <f t="shared" si="44"/>
        <v>C</v>
      </c>
      <c r="AC238" s="15">
        <f>IF(AB238="A",VLOOKUP($G238,'[1]Price Components'!$B:$AC,7,0),IF(AB238="B",VLOOKUP($G238,'[1]Price Components'!$B:$AC,8,0),IF(AB238="C",VLOOKUP($G238,'[1]Price Components'!$B:$AC,9,0),IF(AB238="E",15%,IF(AB238="D",VLOOKUP($G238,'[1]Price Components'!$B:$AC,10,0))))))</f>
        <v>0.09</v>
      </c>
      <c r="AD238" s="13">
        <f>ROUND(IF(AC238=0,VLOOKUP($G238,'[1]Price Components'!$B:$AC,11,0),IF(I238="BASIC",X238*AC238,AA238*AC238)),0)</f>
        <v>20250</v>
      </c>
      <c r="AE238" s="13">
        <f>ROUND(VLOOKUP($G238,'[1]Price Components'!$B:$AC,12,0),0)</f>
        <v>1080</v>
      </c>
      <c r="AF238" s="16">
        <f>VLOOKUP($G238,'[1]Price Components'!$B:$AC,14,0)</f>
        <v>7.92E-3</v>
      </c>
      <c r="AG238" s="16">
        <f>VLOOKUP($G238,'[1]Price Components'!$B:$AC,15,0)</f>
        <v>8.2979999999999998E-3</v>
      </c>
      <c r="AH238" s="13">
        <f t="shared" si="12"/>
        <v>1693</v>
      </c>
      <c r="AI238" s="13">
        <f t="shared" si="13"/>
        <v>7740</v>
      </c>
      <c r="AJ238" s="13">
        <f t="shared" si="14"/>
        <v>1698</v>
      </c>
      <c r="AK238" s="13">
        <f t="shared" si="15"/>
        <v>11131</v>
      </c>
      <c r="AL238" s="13">
        <f t="shared" si="16"/>
        <v>257461</v>
      </c>
      <c r="AM238" s="17"/>
      <c r="AN238" s="18">
        <v>225000</v>
      </c>
      <c r="AO238" s="18">
        <f t="shared" si="17"/>
        <v>0</v>
      </c>
      <c r="AP238" s="18"/>
    </row>
    <row r="239" spans="1:42" ht="15.75" customHeight="1" x14ac:dyDescent="0.3">
      <c r="A239" s="7"/>
      <c r="B239" s="7"/>
      <c r="C239" s="7" t="str">
        <f t="shared" si="0"/>
        <v>VBFV60DN37</v>
      </c>
      <c r="D239" s="7" t="s">
        <v>44</v>
      </c>
      <c r="E239" s="7"/>
      <c r="F239" s="8">
        <v>350</v>
      </c>
      <c r="G239" s="9" t="s">
        <v>77</v>
      </c>
      <c r="H239" s="7" t="str">
        <f>VLOOKUP(G239,'[1]Price Components'!B:C,2,0)</f>
        <v>UTTARAKHAND</v>
      </c>
      <c r="I239" s="7" t="str">
        <f>VLOOKUP(G239,'[1]Price Components'!B:D,3,0)</f>
        <v>EX-SHOWROOM</v>
      </c>
      <c r="J239" s="10">
        <f t="shared" si="1"/>
        <v>4.2499118852839149E-2</v>
      </c>
      <c r="K239" s="11">
        <v>166757</v>
      </c>
      <c r="L239" s="12">
        <f t="shared" si="2"/>
        <v>-340.77443240245339</v>
      </c>
      <c r="M239" s="11">
        <v>166416.22556759755</v>
      </c>
      <c r="N239" s="8">
        <v>1279</v>
      </c>
      <c r="O239" s="13">
        <f>VLOOKUP(G239,'[1]Price Components'!B:E,4,0)</f>
        <v>764</v>
      </c>
      <c r="P239" s="13">
        <f t="shared" si="3"/>
        <v>168459</v>
      </c>
      <c r="Q239" s="14">
        <f>ROUND(IF(F239&lt;500,VLOOKUP(G239,'[1]Price Components'!B:G,5,0),VLOOKUP(G239,'[1]Price Components'!B:G,6,0)),2)</f>
        <v>1772</v>
      </c>
      <c r="R239" s="11">
        <f t="shared" si="4"/>
        <v>9164</v>
      </c>
      <c r="S239" s="13">
        <v>0</v>
      </c>
      <c r="T239" s="11">
        <f t="shared" si="5"/>
        <v>9164</v>
      </c>
      <c r="U239" s="11">
        <v>292</v>
      </c>
      <c r="V239" s="13">
        <f t="shared" si="6"/>
        <v>9456</v>
      </c>
      <c r="W239" s="13">
        <f t="shared" si="7"/>
        <v>215628</v>
      </c>
      <c r="X239" s="13">
        <f t="shared" si="8"/>
        <v>179687</v>
      </c>
      <c r="Y239" s="13">
        <f t="shared" si="9"/>
        <v>50312</v>
      </c>
      <c r="Z239" s="11">
        <v>0</v>
      </c>
      <c r="AA239" s="13">
        <f>ROUND(X239+Y239+Z239,0)+1</f>
        <v>230000</v>
      </c>
      <c r="AB239" s="13" t="str">
        <f t="shared" si="44"/>
        <v>C</v>
      </c>
      <c r="AC239" s="15">
        <f>IF(AB239="A",VLOOKUP($G239,'[1]Price Components'!$B:$AC,7,0),IF(AB239="B",VLOOKUP($G239,'[1]Price Components'!$B:$AC,8,0),IF(AB239="C",VLOOKUP($G239,'[1]Price Components'!$B:$AC,9,0),IF(AB239="E",15%,IF(AB239="D",VLOOKUP($G239,'[1]Price Components'!$B:$AC,10,0))))))</f>
        <v>0.09</v>
      </c>
      <c r="AD239" s="13">
        <f>ROUND(IF(AC239=0,VLOOKUP($G239,'[1]Price Components'!$B:$AC,11,0),IF(I239="BASIC",X239*AC239,AA239*AC239)),0)</f>
        <v>20700</v>
      </c>
      <c r="AE239" s="13">
        <f>ROUND(VLOOKUP($G239,'[1]Price Components'!$B:$AC,12,0),0)</f>
        <v>1080</v>
      </c>
      <c r="AF239" s="16">
        <f>VLOOKUP($G239,'[1]Price Components'!$B:$AC,14,0)</f>
        <v>7.92E-3</v>
      </c>
      <c r="AG239" s="16">
        <f>VLOOKUP($G239,'[1]Price Components'!$B:$AC,15,0)</f>
        <v>8.2979999999999998E-3</v>
      </c>
      <c r="AH239" s="13">
        <f t="shared" si="12"/>
        <v>1731</v>
      </c>
      <c r="AI239" s="13">
        <f t="shared" si="13"/>
        <v>7740</v>
      </c>
      <c r="AJ239" s="13">
        <f t="shared" si="14"/>
        <v>1705</v>
      </c>
      <c r="AK239" s="13">
        <f t="shared" si="15"/>
        <v>11176</v>
      </c>
      <c r="AL239" s="13">
        <f t="shared" si="16"/>
        <v>262956</v>
      </c>
      <c r="AM239" s="17"/>
      <c r="AN239" s="18">
        <v>230000</v>
      </c>
      <c r="AO239" s="18">
        <f t="shared" si="17"/>
        <v>0</v>
      </c>
      <c r="AP239" s="18"/>
    </row>
    <row r="240" spans="1:42" ht="15.75" customHeight="1" x14ac:dyDescent="0.3">
      <c r="A240" s="7"/>
      <c r="B240" s="7"/>
      <c r="C240" s="7" t="str">
        <f t="shared" si="0"/>
        <v>VBFV60RR38</v>
      </c>
      <c r="D240" s="7" t="s">
        <v>37</v>
      </c>
      <c r="E240" s="7"/>
      <c r="F240" s="8">
        <v>350</v>
      </c>
      <c r="G240" s="9" t="s">
        <v>78</v>
      </c>
      <c r="H240" s="7" t="str">
        <f>VLOOKUP(G240,'[1]Price Components'!B:C,2,0)</f>
        <v>Ladakh</v>
      </c>
      <c r="I240" s="7" t="str">
        <f>VLOOKUP(G240,'[1]Price Components'!B:D,3,0)</f>
        <v>Basic</v>
      </c>
      <c r="J240" s="10">
        <f t="shared" si="1"/>
        <v>4.249771174354499E-2</v>
      </c>
      <c r="K240" s="11">
        <v>144158</v>
      </c>
      <c r="L240" s="12">
        <f t="shared" si="2"/>
        <v>59.972885606694035</v>
      </c>
      <c r="M240" s="11">
        <v>144217.97288560669</v>
      </c>
      <c r="N240" s="8">
        <v>1279</v>
      </c>
      <c r="O240" s="13">
        <f>VLOOKUP(G240,'[1]Price Components'!B:E,4,0)</f>
        <v>1312</v>
      </c>
      <c r="P240" s="13">
        <f t="shared" si="3"/>
        <v>146809</v>
      </c>
      <c r="Q240" s="14">
        <f>ROUND(IF(F240&lt;500,VLOOKUP(G240,'[1]Price Components'!B:G,5,0),VLOOKUP(G240,'[1]Price Components'!B:G,6,0)),2)</f>
        <v>772</v>
      </c>
      <c r="R240" s="11">
        <f t="shared" si="4"/>
        <v>7986</v>
      </c>
      <c r="S240" s="13">
        <v>0</v>
      </c>
      <c r="T240" s="11">
        <f t="shared" si="5"/>
        <v>7986</v>
      </c>
      <c r="U240" s="11">
        <v>292</v>
      </c>
      <c r="V240" s="13">
        <f t="shared" si="6"/>
        <v>8278</v>
      </c>
      <c r="W240" s="13">
        <f t="shared" si="7"/>
        <v>187916</v>
      </c>
      <c r="X240" s="13">
        <f t="shared" si="8"/>
        <v>155859</v>
      </c>
      <c r="Y240" s="13">
        <f t="shared" si="9"/>
        <v>43641</v>
      </c>
      <c r="Z240" s="11">
        <v>0</v>
      </c>
      <c r="AA240" s="13">
        <f t="shared" ref="AA240:AA242" si="64">ROUND(X240+Y240+Z240,0)</f>
        <v>199500</v>
      </c>
      <c r="AB240" s="13" t="str">
        <f t="shared" si="44"/>
        <v>B</v>
      </c>
      <c r="AC240" s="15">
        <f>IF(AB240="A",VLOOKUP($G240,'[1]Price Components'!$B:$AC,7,0),IF(AB240="B",VLOOKUP($G240,'[1]Price Components'!$B:$AC,8,0),IF(AB240="C",VLOOKUP($G240,'[1]Price Components'!$B:$AC,9,0),IF(AB240="E",15%,IF(AB240="D",VLOOKUP($G240,'[1]Price Components'!$B:$AC,10,0))))))</f>
        <v>0.03</v>
      </c>
      <c r="AD240" s="13">
        <f>ROUND(IF(AC240=0,VLOOKUP($G240,'[1]Price Components'!$B:$AC,11,0),IF(I240="BASIC",X240*AC240,AA240*AC240)),0)</f>
        <v>4676</v>
      </c>
      <c r="AE240" s="13">
        <f>ROUND(VLOOKUP($G240,'[1]Price Components'!$B:$AC,12,0),0)</f>
        <v>0</v>
      </c>
      <c r="AF240" s="16">
        <f>VLOOKUP($G240,'[1]Price Components'!$B:$AC,14,0)</f>
        <v>7.92E-3</v>
      </c>
      <c r="AG240" s="16">
        <f>VLOOKUP($G240,'[1]Price Components'!$B:$AC,15,0)</f>
        <v>8.2979999999999998E-3</v>
      </c>
      <c r="AH240" s="13">
        <f t="shared" si="12"/>
        <v>1501</v>
      </c>
      <c r="AI240" s="13">
        <f t="shared" si="13"/>
        <v>7740</v>
      </c>
      <c r="AJ240" s="13">
        <f t="shared" si="14"/>
        <v>1663</v>
      </c>
      <c r="AK240" s="13">
        <f t="shared" si="15"/>
        <v>10904</v>
      </c>
      <c r="AL240" s="13">
        <f t="shared" si="16"/>
        <v>215080</v>
      </c>
      <c r="AM240" s="17"/>
      <c r="AN240" s="18">
        <v>199500</v>
      </c>
      <c r="AO240" s="18">
        <f t="shared" si="17"/>
        <v>0</v>
      </c>
      <c r="AP240" s="18"/>
    </row>
    <row r="241" spans="1:42" ht="15.75" customHeight="1" x14ac:dyDescent="0.3">
      <c r="A241" s="7"/>
      <c r="B241" s="7"/>
      <c r="C241" s="7" t="str">
        <f t="shared" si="0"/>
        <v>VBFV60EB38</v>
      </c>
      <c r="D241" s="7" t="s">
        <v>39</v>
      </c>
      <c r="E241" s="7"/>
      <c r="F241" s="8">
        <v>350</v>
      </c>
      <c r="G241" s="9" t="s">
        <v>78</v>
      </c>
      <c r="H241" s="7" t="str">
        <f>VLOOKUP(G241,'[1]Price Components'!B:C,2,0)</f>
        <v>Ladakh</v>
      </c>
      <c r="I241" s="7" t="str">
        <f>VLOOKUP(G241,'[1]Price Components'!B:D,3,0)</f>
        <v>Basic</v>
      </c>
      <c r="J241" s="10">
        <f t="shared" si="1"/>
        <v>4.249771174354499E-2</v>
      </c>
      <c r="K241" s="11">
        <v>144158</v>
      </c>
      <c r="L241" s="12">
        <f t="shared" si="2"/>
        <v>59.972885606694035</v>
      </c>
      <c r="M241" s="11">
        <v>144217.97288560669</v>
      </c>
      <c r="N241" s="8">
        <v>1279</v>
      </c>
      <c r="O241" s="13">
        <f>VLOOKUP(G241,'[1]Price Components'!B:E,4,0)</f>
        <v>1312</v>
      </c>
      <c r="P241" s="13">
        <f t="shared" si="3"/>
        <v>146809</v>
      </c>
      <c r="Q241" s="14">
        <f>ROUND(IF(F241&lt;500,VLOOKUP(G241,'[1]Price Components'!B:G,5,0),VLOOKUP(G241,'[1]Price Components'!B:G,6,0)),2)</f>
        <v>772</v>
      </c>
      <c r="R241" s="11">
        <f t="shared" si="4"/>
        <v>7986</v>
      </c>
      <c r="S241" s="13">
        <v>0</v>
      </c>
      <c r="T241" s="11">
        <f t="shared" si="5"/>
        <v>7986</v>
      </c>
      <c r="U241" s="11">
        <v>292</v>
      </c>
      <c r="V241" s="13">
        <f t="shared" si="6"/>
        <v>8278</v>
      </c>
      <c r="W241" s="13">
        <f t="shared" si="7"/>
        <v>187916</v>
      </c>
      <c r="X241" s="13">
        <f t="shared" si="8"/>
        <v>155859</v>
      </c>
      <c r="Y241" s="13">
        <f t="shared" si="9"/>
        <v>43641</v>
      </c>
      <c r="Z241" s="11">
        <v>0</v>
      </c>
      <c r="AA241" s="13">
        <f t="shared" si="64"/>
        <v>199500</v>
      </c>
      <c r="AB241" s="13" t="str">
        <f t="shared" si="44"/>
        <v>B</v>
      </c>
      <c r="AC241" s="15">
        <f>IF(AB241="A",VLOOKUP($G241,'[1]Price Components'!$B:$AC,7,0),IF(AB241="B",VLOOKUP($G241,'[1]Price Components'!$B:$AC,8,0),IF(AB241="C",VLOOKUP($G241,'[1]Price Components'!$B:$AC,9,0),IF(AB241="E",15%,IF(AB241="D",VLOOKUP($G241,'[1]Price Components'!$B:$AC,10,0))))))</f>
        <v>0.03</v>
      </c>
      <c r="AD241" s="13">
        <f>ROUND(IF(AC241=0,VLOOKUP($G241,'[1]Price Components'!$B:$AC,11,0),IF(I241="BASIC",X241*AC241,AA241*AC241)),0)</f>
        <v>4676</v>
      </c>
      <c r="AE241" s="13">
        <f>ROUND(VLOOKUP($G241,'[1]Price Components'!$B:$AC,12,0),0)</f>
        <v>0</v>
      </c>
      <c r="AF241" s="16">
        <f>VLOOKUP($G241,'[1]Price Components'!$B:$AC,14,0)</f>
        <v>7.92E-3</v>
      </c>
      <c r="AG241" s="16">
        <f>VLOOKUP($G241,'[1]Price Components'!$B:$AC,15,0)</f>
        <v>8.2979999999999998E-3</v>
      </c>
      <c r="AH241" s="13">
        <f t="shared" si="12"/>
        <v>1501</v>
      </c>
      <c r="AI241" s="13">
        <f t="shared" si="13"/>
        <v>7740</v>
      </c>
      <c r="AJ241" s="13">
        <f t="shared" si="14"/>
        <v>1663</v>
      </c>
      <c r="AK241" s="13">
        <f t="shared" si="15"/>
        <v>10904</v>
      </c>
      <c r="AL241" s="13">
        <f t="shared" si="16"/>
        <v>215080</v>
      </c>
      <c r="AM241" s="17"/>
      <c r="AN241" s="18">
        <v>199500</v>
      </c>
      <c r="AO241" s="18">
        <f t="shared" si="17"/>
        <v>0</v>
      </c>
      <c r="AP241" s="18"/>
    </row>
    <row r="242" spans="1:42" ht="15.75" customHeight="1" x14ac:dyDescent="0.3">
      <c r="A242" s="7"/>
      <c r="B242" s="7"/>
      <c r="C242" s="7" t="str">
        <f t="shared" si="0"/>
        <v>VBFV60HG38</v>
      </c>
      <c r="D242" s="7" t="s">
        <v>40</v>
      </c>
      <c r="E242" s="7"/>
      <c r="F242" s="8">
        <v>350</v>
      </c>
      <c r="G242" s="9" t="s">
        <v>78</v>
      </c>
      <c r="H242" s="7" t="str">
        <f>VLOOKUP(G242,'[1]Price Components'!B:C,2,0)</f>
        <v>Ladakh</v>
      </c>
      <c r="I242" s="7" t="str">
        <f>VLOOKUP(G242,'[1]Price Components'!B:D,3,0)</f>
        <v>Basic</v>
      </c>
      <c r="J242" s="10">
        <f t="shared" si="1"/>
        <v>4.2501157750685546E-2</v>
      </c>
      <c r="K242" s="11">
        <v>147492</v>
      </c>
      <c r="L242" s="12">
        <f t="shared" si="2"/>
        <v>60.004279256652808</v>
      </c>
      <c r="M242" s="11">
        <v>147552.00427925665</v>
      </c>
      <c r="N242" s="8">
        <v>1279</v>
      </c>
      <c r="O242" s="13">
        <f>VLOOKUP(G242,'[1]Price Components'!B:E,4,0)</f>
        <v>1312</v>
      </c>
      <c r="P242" s="13">
        <f t="shared" si="3"/>
        <v>150143</v>
      </c>
      <c r="Q242" s="14">
        <f>ROUND(IF(F242&lt;500,VLOOKUP(G242,'[1]Price Components'!B:G,5,0),VLOOKUP(G242,'[1]Price Components'!B:G,6,0)),2)</f>
        <v>772</v>
      </c>
      <c r="R242" s="11">
        <f t="shared" si="4"/>
        <v>8168</v>
      </c>
      <c r="S242" s="13">
        <v>0</v>
      </c>
      <c r="T242" s="11">
        <f t="shared" si="5"/>
        <v>8168</v>
      </c>
      <c r="U242" s="11">
        <v>292</v>
      </c>
      <c r="V242" s="13">
        <f t="shared" si="6"/>
        <v>8460</v>
      </c>
      <c r="W242" s="13">
        <f t="shared" si="7"/>
        <v>192183</v>
      </c>
      <c r="X242" s="13">
        <f t="shared" si="8"/>
        <v>159375</v>
      </c>
      <c r="Y242" s="13">
        <f t="shared" si="9"/>
        <v>44625</v>
      </c>
      <c r="Z242" s="11">
        <v>0</v>
      </c>
      <c r="AA242" s="13">
        <f t="shared" si="64"/>
        <v>204000</v>
      </c>
      <c r="AB242" s="13" t="str">
        <f t="shared" si="44"/>
        <v>C</v>
      </c>
      <c r="AC242" s="15">
        <f>IF(AB242="A",VLOOKUP($G242,'[1]Price Components'!$B:$AC,7,0),IF(AB242="B",VLOOKUP($G242,'[1]Price Components'!$B:$AC,8,0),IF(AB242="C",VLOOKUP($G242,'[1]Price Components'!$B:$AC,9,0),IF(AB242="E",15%,IF(AB242="D",VLOOKUP($G242,'[1]Price Components'!$B:$AC,10,0))))))</f>
        <v>0.06</v>
      </c>
      <c r="AD242" s="13">
        <f>ROUND(IF(AC242=0,VLOOKUP($G242,'[1]Price Components'!$B:$AC,11,0),IF(I242="BASIC",X242*AC242,AA242*AC242)),0)</f>
        <v>9563</v>
      </c>
      <c r="AE242" s="13">
        <f>ROUND(VLOOKUP($G242,'[1]Price Components'!$B:$AC,12,0),0)</f>
        <v>0</v>
      </c>
      <c r="AF242" s="16">
        <f>VLOOKUP($G242,'[1]Price Components'!$B:$AC,14,0)</f>
        <v>7.92E-3</v>
      </c>
      <c r="AG242" s="16">
        <f>VLOOKUP($G242,'[1]Price Components'!$B:$AC,15,0)</f>
        <v>8.2979999999999998E-3</v>
      </c>
      <c r="AH242" s="13">
        <f t="shared" si="12"/>
        <v>1535</v>
      </c>
      <c r="AI242" s="13">
        <f t="shared" si="13"/>
        <v>7740</v>
      </c>
      <c r="AJ242" s="13">
        <f t="shared" si="14"/>
        <v>1670</v>
      </c>
      <c r="AK242" s="13">
        <f t="shared" si="15"/>
        <v>10945</v>
      </c>
      <c r="AL242" s="13">
        <f t="shared" si="16"/>
        <v>224508</v>
      </c>
      <c r="AM242" s="17"/>
      <c r="AN242" s="18">
        <v>204000</v>
      </c>
      <c r="AO242" s="18">
        <f t="shared" si="17"/>
        <v>0</v>
      </c>
      <c r="AP242" s="18"/>
    </row>
    <row r="243" spans="1:42" ht="15.75" customHeight="1" x14ac:dyDescent="0.3">
      <c r="A243" s="7"/>
      <c r="B243" s="7"/>
      <c r="C243" s="7" t="str">
        <f t="shared" si="0"/>
        <v>VBFV60SE38</v>
      </c>
      <c r="D243" s="7" t="s">
        <v>41</v>
      </c>
      <c r="E243" s="7"/>
      <c r="F243" s="8">
        <v>350</v>
      </c>
      <c r="G243" s="9" t="s">
        <v>78</v>
      </c>
      <c r="H243" s="7" t="str">
        <f>VLOOKUP(G243,'[1]Price Components'!B:C,2,0)</f>
        <v>Ladakh</v>
      </c>
      <c r="I243" s="7" t="str">
        <f>VLOOKUP(G243,'[1]Price Components'!B:D,3,0)</f>
        <v>Basic</v>
      </c>
      <c r="J243" s="10">
        <f t="shared" si="1"/>
        <v>4.2502394812467766E-2</v>
      </c>
      <c r="K243" s="11">
        <v>156384</v>
      </c>
      <c r="L243" s="12">
        <f t="shared" si="2"/>
        <v>60.004443925718078</v>
      </c>
      <c r="M243" s="11">
        <v>156444.00444392572</v>
      </c>
      <c r="N243" s="8">
        <v>1279</v>
      </c>
      <c r="O243" s="13">
        <f>VLOOKUP(G243,'[1]Price Components'!B:E,4,0)</f>
        <v>1312</v>
      </c>
      <c r="P243" s="13">
        <f t="shared" si="3"/>
        <v>159035</v>
      </c>
      <c r="Q243" s="14">
        <f>ROUND(IF(F243&lt;500,VLOOKUP(G243,'[1]Price Components'!B:G,5,0),VLOOKUP(G243,'[1]Price Components'!B:G,6,0)),2)</f>
        <v>772</v>
      </c>
      <c r="R243" s="11">
        <f t="shared" si="4"/>
        <v>8652</v>
      </c>
      <c r="S243" s="13">
        <v>0</v>
      </c>
      <c r="T243" s="11">
        <f t="shared" si="5"/>
        <v>8652</v>
      </c>
      <c r="U243" s="11">
        <v>292</v>
      </c>
      <c r="V243" s="13">
        <f t="shared" si="6"/>
        <v>8944</v>
      </c>
      <c r="W243" s="13">
        <f t="shared" si="7"/>
        <v>203565</v>
      </c>
      <c r="X243" s="13">
        <f t="shared" si="8"/>
        <v>168751</v>
      </c>
      <c r="Y243" s="13">
        <f t="shared" si="9"/>
        <v>47250</v>
      </c>
      <c r="Z243" s="11">
        <v>0</v>
      </c>
      <c r="AA243" s="13">
        <f>ROUND(X243+Y243+Z243,0)-1</f>
        <v>216000</v>
      </c>
      <c r="AB243" s="13" t="str">
        <f t="shared" si="44"/>
        <v>C</v>
      </c>
      <c r="AC243" s="15">
        <f>IF(AB243="A",VLOOKUP($G243,'[1]Price Components'!$B:$AC,7,0),IF(AB243="B",VLOOKUP($G243,'[1]Price Components'!$B:$AC,8,0),IF(AB243="C",VLOOKUP($G243,'[1]Price Components'!$B:$AC,9,0),IF(AB243="E",15%,IF(AB243="D",VLOOKUP($G243,'[1]Price Components'!$B:$AC,10,0))))))</f>
        <v>0.06</v>
      </c>
      <c r="AD243" s="13">
        <f>ROUND(IF(AC243=0,VLOOKUP($G243,'[1]Price Components'!$B:$AC,11,0),IF(I243="BASIC",X243*AC243,AA243*AC243)),0)</f>
        <v>10125</v>
      </c>
      <c r="AE243" s="13">
        <f>ROUND(VLOOKUP($G243,'[1]Price Components'!$B:$AC,12,0),0)</f>
        <v>0</v>
      </c>
      <c r="AF243" s="16">
        <f>VLOOKUP($G243,'[1]Price Components'!$B:$AC,14,0)</f>
        <v>7.92E-3</v>
      </c>
      <c r="AG243" s="16">
        <f>VLOOKUP($G243,'[1]Price Components'!$B:$AC,15,0)</f>
        <v>8.2979999999999998E-3</v>
      </c>
      <c r="AH243" s="13">
        <f t="shared" si="12"/>
        <v>1625</v>
      </c>
      <c r="AI243" s="13">
        <f t="shared" si="13"/>
        <v>7740</v>
      </c>
      <c r="AJ243" s="13">
        <f t="shared" si="14"/>
        <v>1686</v>
      </c>
      <c r="AK243" s="13">
        <f t="shared" si="15"/>
        <v>11051</v>
      </c>
      <c r="AL243" s="13">
        <f t="shared" si="16"/>
        <v>237176</v>
      </c>
      <c r="AM243" s="17"/>
      <c r="AN243" s="18">
        <v>216000</v>
      </c>
      <c r="AO243" s="18">
        <f t="shared" si="17"/>
        <v>0</v>
      </c>
      <c r="AP243" s="18"/>
    </row>
    <row r="244" spans="1:42" ht="15.75" customHeight="1" x14ac:dyDescent="0.3">
      <c r="A244" s="7"/>
      <c r="B244" s="7"/>
      <c r="C244" s="7" t="str">
        <f t="shared" si="0"/>
        <v>VBFV60GM38</v>
      </c>
      <c r="D244" s="7" t="s">
        <v>42</v>
      </c>
      <c r="E244" s="7"/>
      <c r="F244" s="8">
        <v>350</v>
      </c>
      <c r="G244" s="9" t="s">
        <v>78</v>
      </c>
      <c r="H244" s="7" t="str">
        <f>VLOOKUP(G244,'[1]Price Components'!B:C,2,0)</f>
        <v>Ladakh</v>
      </c>
      <c r="I244" s="7" t="str">
        <f>VLOOKUP(G244,'[1]Price Components'!B:D,3,0)</f>
        <v>Basic</v>
      </c>
      <c r="J244" s="10">
        <f t="shared" si="1"/>
        <v>4.2498821310702498E-2</v>
      </c>
      <c r="K244" s="11">
        <v>163052</v>
      </c>
      <c r="L244" s="12">
        <f t="shared" si="2"/>
        <v>59.978256130794762</v>
      </c>
      <c r="M244" s="11">
        <v>163111.97825613079</v>
      </c>
      <c r="N244" s="8">
        <v>1279</v>
      </c>
      <c r="O244" s="13">
        <f>VLOOKUP(G244,'[1]Price Components'!B:E,4,0)</f>
        <v>1312</v>
      </c>
      <c r="P244" s="13">
        <f t="shared" si="3"/>
        <v>165703</v>
      </c>
      <c r="Q244" s="14">
        <f>ROUND(IF(F244&lt;500,VLOOKUP(G244,'[1]Price Components'!B:G,5,0),VLOOKUP(G244,'[1]Price Components'!B:G,6,0)),2)</f>
        <v>772</v>
      </c>
      <c r="R244" s="11">
        <f t="shared" si="4"/>
        <v>9014</v>
      </c>
      <c r="S244" s="13">
        <v>0</v>
      </c>
      <c r="T244" s="11">
        <f t="shared" si="5"/>
        <v>9014</v>
      </c>
      <c r="U244" s="11">
        <v>292</v>
      </c>
      <c r="V244" s="13">
        <f t="shared" si="6"/>
        <v>9306</v>
      </c>
      <c r="W244" s="13">
        <f t="shared" si="7"/>
        <v>212100</v>
      </c>
      <c r="X244" s="13">
        <f t="shared" si="8"/>
        <v>175781</v>
      </c>
      <c r="Y244" s="13">
        <f t="shared" si="9"/>
        <v>49219</v>
      </c>
      <c r="Z244" s="11">
        <v>0</v>
      </c>
      <c r="AA244" s="13">
        <f t="shared" ref="AA244:AA245" si="65">ROUND(X244+Y244+Z244,0)</f>
        <v>225000</v>
      </c>
      <c r="AB244" s="13" t="str">
        <f t="shared" si="44"/>
        <v>C</v>
      </c>
      <c r="AC244" s="15">
        <f>IF(AB244="A",VLOOKUP($G244,'[1]Price Components'!$B:$AC,7,0),IF(AB244="B",VLOOKUP($G244,'[1]Price Components'!$B:$AC,8,0),IF(AB244="C",VLOOKUP($G244,'[1]Price Components'!$B:$AC,9,0),IF(AB244="E",15%,IF(AB244="D",VLOOKUP($G244,'[1]Price Components'!$B:$AC,10,0))))))</f>
        <v>0.06</v>
      </c>
      <c r="AD244" s="13">
        <f>ROUND(IF(AC244=0,VLOOKUP($G244,'[1]Price Components'!$B:$AC,11,0),IF(I244="BASIC",X244*AC244,AA244*AC244)),0)</f>
        <v>10547</v>
      </c>
      <c r="AE244" s="13">
        <f>ROUND(VLOOKUP($G244,'[1]Price Components'!$B:$AC,12,0),0)</f>
        <v>0</v>
      </c>
      <c r="AF244" s="16">
        <f>VLOOKUP($G244,'[1]Price Components'!$B:$AC,14,0)</f>
        <v>7.92E-3</v>
      </c>
      <c r="AG244" s="16">
        <f>VLOOKUP($G244,'[1]Price Components'!$B:$AC,15,0)</f>
        <v>8.2979999999999998E-3</v>
      </c>
      <c r="AH244" s="13">
        <f t="shared" si="12"/>
        <v>1693</v>
      </c>
      <c r="AI244" s="13">
        <f t="shared" si="13"/>
        <v>7740</v>
      </c>
      <c r="AJ244" s="13">
        <f t="shared" si="14"/>
        <v>1698</v>
      </c>
      <c r="AK244" s="13">
        <f t="shared" si="15"/>
        <v>11131</v>
      </c>
      <c r="AL244" s="13">
        <f t="shared" si="16"/>
        <v>246678</v>
      </c>
      <c r="AM244" s="17"/>
      <c r="AN244" s="18">
        <v>225000</v>
      </c>
      <c r="AO244" s="18">
        <f t="shared" si="17"/>
        <v>0</v>
      </c>
      <c r="AP244" s="18"/>
    </row>
    <row r="245" spans="1:42" ht="15.75" customHeight="1" x14ac:dyDescent="0.3">
      <c r="A245" s="7"/>
      <c r="B245" s="7"/>
      <c r="C245" s="7" t="str">
        <f t="shared" si="0"/>
        <v>VBFV60SB38</v>
      </c>
      <c r="D245" s="7" t="s">
        <v>43</v>
      </c>
      <c r="E245" s="7"/>
      <c r="F245" s="8">
        <v>350</v>
      </c>
      <c r="G245" s="9" t="s">
        <v>78</v>
      </c>
      <c r="H245" s="7" t="str">
        <f>VLOOKUP(G245,'[1]Price Components'!B:C,2,0)</f>
        <v>Ladakh</v>
      </c>
      <c r="I245" s="7" t="str">
        <f>VLOOKUP(G245,'[1]Price Components'!B:D,3,0)</f>
        <v>Basic</v>
      </c>
      <c r="J245" s="10">
        <f t="shared" si="1"/>
        <v>4.2498821310702498E-2</v>
      </c>
      <c r="K245" s="11">
        <v>163052</v>
      </c>
      <c r="L245" s="12">
        <f t="shared" si="2"/>
        <v>59.978256130794762</v>
      </c>
      <c r="M245" s="11">
        <v>163111.97825613079</v>
      </c>
      <c r="N245" s="8">
        <v>1279</v>
      </c>
      <c r="O245" s="13">
        <f>VLOOKUP(G245,'[1]Price Components'!B:E,4,0)</f>
        <v>1312</v>
      </c>
      <c r="P245" s="13">
        <f t="shared" si="3"/>
        <v>165703</v>
      </c>
      <c r="Q245" s="14">
        <f>ROUND(IF(F245&lt;500,VLOOKUP(G245,'[1]Price Components'!B:G,5,0),VLOOKUP(G245,'[1]Price Components'!B:G,6,0)),2)</f>
        <v>772</v>
      </c>
      <c r="R245" s="11">
        <f t="shared" si="4"/>
        <v>9014</v>
      </c>
      <c r="S245" s="13">
        <v>0</v>
      </c>
      <c r="T245" s="11">
        <f t="shared" si="5"/>
        <v>9014</v>
      </c>
      <c r="U245" s="11">
        <v>292</v>
      </c>
      <c r="V245" s="13">
        <f t="shared" si="6"/>
        <v>9306</v>
      </c>
      <c r="W245" s="13">
        <f t="shared" si="7"/>
        <v>212100</v>
      </c>
      <c r="X245" s="13">
        <f t="shared" si="8"/>
        <v>175781</v>
      </c>
      <c r="Y245" s="13">
        <f t="shared" si="9"/>
        <v>49219</v>
      </c>
      <c r="Z245" s="11">
        <v>0</v>
      </c>
      <c r="AA245" s="13">
        <f t="shared" si="65"/>
        <v>225000</v>
      </c>
      <c r="AB245" s="13" t="str">
        <f t="shared" si="44"/>
        <v>C</v>
      </c>
      <c r="AC245" s="15">
        <f>IF(AB245="A",VLOOKUP($G245,'[1]Price Components'!$B:$AC,7,0),IF(AB245="B",VLOOKUP($G245,'[1]Price Components'!$B:$AC,8,0),IF(AB245="C",VLOOKUP($G245,'[1]Price Components'!$B:$AC,9,0),IF(AB245="E",15%,IF(AB245="D",VLOOKUP($G245,'[1]Price Components'!$B:$AC,10,0))))))</f>
        <v>0.06</v>
      </c>
      <c r="AD245" s="13">
        <f>ROUND(IF(AC245=0,VLOOKUP($G245,'[1]Price Components'!$B:$AC,11,0),IF(I245="BASIC",X245*AC245,AA245*AC245)),0)</f>
        <v>10547</v>
      </c>
      <c r="AE245" s="13">
        <f>ROUND(VLOOKUP($G245,'[1]Price Components'!$B:$AC,12,0),0)</f>
        <v>0</v>
      </c>
      <c r="AF245" s="16">
        <f>VLOOKUP($G245,'[1]Price Components'!$B:$AC,14,0)</f>
        <v>7.92E-3</v>
      </c>
      <c r="AG245" s="16">
        <f>VLOOKUP($G245,'[1]Price Components'!$B:$AC,15,0)</f>
        <v>8.2979999999999998E-3</v>
      </c>
      <c r="AH245" s="13">
        <f t="shared" si="12"/>
        <v>1693</v>
      </c>
      <c r="AI245" s="13">
        <f t="shared" si="13"/>
        <v>7740</v>
      </c>
      <c r="AJ245" s="13">
        <f t="shared" si="14"/>
        <v>1698</v>
      </c>
      <c r="AK245" s="13">
        <f t="shared" si="15"/>
        <v>11131</v>
      </c>
      <c r="AL245" s="13">
        <f t="shared" si="16"/>
        <v>246678</v>
      </c>
      <c r="AM245" s="17"/>
      <c r="AN245" s="18">
        <v>225000</v>
      </c>
      <c r="AO245" s="18">
        <f t="shared" si="17"/>
        <v>0</v>
      </c>
      <c r="AP245" s="18"/>
    </row>
    <row r="246" spans="1:42" ht="15.75" customHeight="1" x14ac:dyDescent="0.3">
      <c r="A246" s="7"/>
      <c r="B246" s="7"/>
      <c r="C246" s="7" t="str">
        <f t="shared" si="0"/>
        <v>VBFV60DN38</v>
      </c>
      <c r="D246" s="7" t="s">
        <v>44</v>
      </c>
      <c r="E246" s="7"/>
      <c r="F246" s="8">
        <v>350</v>
      </c>
      <c r="G246" s="9" t="s">
        <v>78</v>
      </c>
      <c r="H246" s="7" t="str">
        <f>VLOOKUP(G246,'[1]Price Components'!B:C,2,0)</f>
        <v>Ladakh</v>
      </c>
      <c r="I246" s="7" t="str">
        <f>VLOOKUP(G246,'[1]Price Components'!B:D,3,0)</f>
        <v>Basic</v>
      </c>
      <c r="J246" s="10">
        <f t="shared" si="1"/>
        <v>4.250118750605282E-2</v>
      </c>
      <c r="K246" s="11">
        <v>166757</v>
      </c>
      <c r="L246" s="12">
        <f t="shared" si="2"/>
        <v>59.291769411560381</v>
      </c>
      <c r="M246" s="11">
        <v>166816.29176941156</v>
      </c>
      <c r="N246" s="8">
        <v>1279</v>
      </c>
      <c r="O246" s="13">
        <f>VLOOKUP(G246,'[1]Price Components'!B:E,4,0)</f>
        <v>1312</v>
      </c>
      <c r="P246" s="13">
        <f t="shared" si="3"/>
        <v>169407</v>
      </c>
      <c r="Q246" s="14">
        <f>ROUND(IF(F246&lt;500,VLOOKUP(G246,'[1]Price Components'!B:G,5,0),VLOOKUP(G246,'[1]Price Components'!B:G,6,0)),2)</f>
        <v>772</v>
      </c>
      <c r="R246" s="11">
        <f t="shared" si="4"/>
        <v>9216</v>
      </c>
      <c r="S246" s="13">
        <v>0</v>
      </c>
      <c r="T246" s="11">
        <f t="shared" si="5"/>
        <v>9216</v>
      </c>
      <c r="U246" s="11">
        <v>292</v>
      </c>
      <c r="V246" s="13">
        <f t="shared" si="6"/>
        <v>9508</v>
      </c>
      <c r="W246" s="13">
        <f t="shared" si="7"/>
        <v>216841</v>
      </c>
      <c r="X246" s="13">
        <f t="shared" si="8"/>
        <v>179687</v>
      </c>
      <c r="Y246" s="13">
        <f t="shared" si="9"/>
        <v>50312</v>
      </c>
      <c r="Z246" s="11">
        <v>0</v>
      </c>
      <c r="AA246" s="13">
        <f>ROUND(X246+Y246+Z246,0)+1</f>
        <v>230000</v>
      </c>
      <c r="AB246" s="13" t="str">
        <f t="shared" si="44"/>
        <v>C</v>
      </c>
      <c r="AC246" s="15">
        <f>IF(AB246="A",VLOOKUP($G246,'[1]Price Components'!$B:$AC,7,0),IF(AB246="B",VLOOKUP($G246,'[1]Price Components'!$B:$AC,8,0),IF(AB246="C",VLOOKUP($G246,'[1]Price Components'!$B:$AC,9,0),IF(AB246="E",15%,IF(AB246="D",VLOOKUP($G246,'[1]Price Components'!$B:$AC,10,0))))))</f>
        <v>0.06</v>
      </c>
      <c r="AD246" s="13">
        <f>ROUND(IF(AC246=0,VLOOKUP($G246,'[1]Price Components'!$B:$AC,11,0),IF(I246="BASIC",X246*AC246,AA246*AC246)),0)</f>
        <v>10781</v>
      </c>
      <c r="AE246" s="13">
        <f>ROUND(VLOOKUP($G246,'[1]Price Components'!$B:$AC,12,0),0)</f>
        <v>0</v>
      </c>
      <c r="AF246" s="16">
        <f>VLOOKUP($G246,'[1]Price Components'!$B:$AC,14,0)</f>
        <v>7.92E-3</v>
      </c>
      <c r="AG246" s="16">
        <f>VLOOKUP($G246,'[1]Price Components'!$B:$AC,15,0)</f>
        <v>8.2979999999999998E-3</v>
      </c>
      <c r="AH246" s="13">
        <f t="shared" si="12"/>
        <v>1731</v>
      </c>
      <c r="AI246" s="13">
        <f t="shared" si="13"/>
        <v>7740</v>
      </c>
      <c r="AJ246" s="13">
        <f t="shared" si="14"/>
        <v>1705</v>
      </c>
      <c r="AK246" s="13">
        <f t="shared" si="15"/>
        <v>11176</v>
      </c>
      <c r="AL246" s="13">
        <f t="shared" si="16"/>
        <v>251957</v>
      </c>
      <c r="AM246" s="17"/>
      <c r="AN246" s="18">
        <v>230000</v>
      </c>
      <c r="AO246" s="18">
        <f t="shared" si="17"/>
        <v>0</v>
      </c>
      <c r="AP246" s="18"/>
    </row>
    <row r="247" spans="1:42" ht="15.75" customHeight="1" x14ac:dyDescent="0.3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</row>
    <row r="248" spans="1:42" ht="15.75" customHeight="1" x14ac:dyDescent="0.3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</row>
    <row r="249" spans="1:42" ht="15.75" customHeight="1" x14ac:dyDescent="0.3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</row>
    <row r="250" spans="1:42" ht="15.75" customHeight="1" x14ac:dyDescent="0.3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</row>
    <row r="251" spans="1:42" ht="15.75" customHeight="1" x14ac:dyDescent="0.3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</row>
    <row r="252" spans="1:42" ht="15.75" customHeight="1" x14ac:dyDescent="0.3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</row>
    <row r="253" spans="1:42" ht="15.75" customHeight="1" x14ac:dyDescent="0.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</row>
    <row r="254" spans="1:42" ht="15.75" customHeight="1" x14ac:dyDescent="0.3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</row>
    <row r="255" spans="1:42" ht="15.75" customHeight="1" x14ac:dyDescent="0.3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</row>
    <row r="256" spans="1:42" ht="15.75" customHeight="1" x14ac:dyDescent="0.3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</row>
    <row r="257" spans="1:42" ht="15.75" customHeight="1" x14ac:dyDescent="0.3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</row>
    <row r="258" spans="1:42" ht="15.75" customHeight="1" x14ac:dyDescent="0.3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</row>
    <row r="259" spans="1:42" ht="15.75" customHeight="1" x14ac:dyDescent="0.3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</row>
    <row r="260" spans="1:42" ht="15.75" customHeight="1" x14ac:dyDescent="0.3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</row>
    <row r="261" spans="1:42" ht="15.75" customHeight="1" x14ac:dyDescent="0.3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</row>
    <row r="262" spans="1:42" ht="15.75" customHeight="1" x14ac:dyDescent="0.3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</row>
    <row r="263" spans="1:42" ht="15.75" customHeight="1" x14ac:dyDescent="0.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</row>
    <row r="264" spans="1:42" ht="15.75" customHeight="1" x14ac:dyDescent="0.3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</row>
    <row r="265" spans="1:42" ht="15.75" customHeight="1" x14ac:dyDescent="0.3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</row>
    <row r="266" spans="1:42" ht="15.75" customHeight="1" x14ac:dyDescent="0.3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</row>
    <row r="267" spans="1:42" ht="15.75" customHeight="1" x14ac:dyDescent="0.3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</row>
    <row r="268" spans="1:42" ht="15.75" customHeight="1" x14ac:dyDescent="0.3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</row>
    <row r="269" spans="1:42" ht="15.75" customHeight="1" x14ac:dyDescent="0.3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</row>
    <row r="270" spans="1:42" ht="15.75" customHeight="1" x14ac:dyDescent="0.3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</row>
    <row r="271" spans="1:42" ht="15.75" customHeight="1" x14ac:dyDescent="0.3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</row>
    <row r="272" spans="1:42" ht="15.75" customHeight="1" x14ac:dyDescent="0.3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</row>
    <row r="273" spans="1:42" ht="15.75" customHeight="1" x14ac:dyDescent="0.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</row>
    <row r="274" spans="1:42" ht="15.75" customHeight="1" x14ac:dyDescent="0.3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</row>
    <row r="275" spans="1:42" ht="15.75" customHeight="1" x14ac:dyDescent="0.3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</row>
    <row r="276" spans="1:42" ht="15.75" customHeight="1" x14ac:dyDescent="0.3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</row>
    <row r="277" spans="1:42" ht="15.75" customHeight="1" x14ac:dyDescent="0.3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</row>
    <row r="278" spans="1:42" ht="15.75" customHeight="1" x14ac:dyDescent="0.3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</row>
    <row r="279" spans="1:42" ht="15.75" customHeight="1" x14ac:dyDescent="0.3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</row>
    <row r="280" spans="1:42" ht="15.75" customHeight="1" x14ac:dyDescent="0.3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</row>
    <row r="281" spans="1:42" ht="15.75" customHeight="1" x14ac:dyDescent="0.3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</row>
    <row r="282" spans="1:42" ht="15.75" customHeight="1" x14ac:dyDescent="0.3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</row>
    <row r="283" spans="1:42" ht="15.75" customHeight="1" x14ac:dyDescent="0.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</row>
    <row r="284" spans="1:42" ht="15.75" customHeight="1" x14ac:dyDescent="0.3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</row>
    <row r="285" spans="1:42" ht="15.75" customHeight="1" x14ac:dyDescent="0.3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</row>
    <row r="286" spans="1:42" ht="15.75" customHeight="1" x14ac:dyDescent="0.3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</row>
    <row r="287" spans="1:42" ht="15.75" customHeight="1" x14ac:dyDescent="0.3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</row>
    <row r="288" spans="1:42" ht="15.75" customHeight="1" x14ac:dyDescent="0.3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</row>
    <row r="289" spans="1:42" ht="15.75" customHeight="1" x14ac:dyDescent="0.3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</row>
    <row r="290" spans="1:42" ht="15.75" customHeight="1" x14ac:dyDescent="0.3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</row>
    <row r="291" spans="1:42" ht="15.75" customHeight="1" x14ac:dyDescent="0.3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</row>
    <row r="292" spans="1:42" ht="15.75" customHeight="1" x14ac:dyDescent="0.3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</row>
    <row r="293" spans="1:42" ht="15.75" customHeight="1" x14ac:dyDescent="0.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</row>
    <row r="294" spans="1:42" ht="15.75" customHeight="1" x14ac:dyDescent="0.3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</row>
    <row r="295" spans="1:42" ht="15.75" customHeight="1" x14ac:dyDescent="0.3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</row>
    <row r="296" spans="1:42" ht="15.75" customHeight="1" x14ac:dyDescent="0.3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</row>
    <row r="297" spans="1:42" ht="15.75" customHeight="1" x14ac:dyDescent="0.3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</row>
    <row r="298" spans="1:42" ht="15.75" customHeight="1" x14ac:dyDescent="0.3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</row>
    <row r="299" spans="1:42" ht="15.75" customHeight="1" x14ac:dyDescent="0.3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</row>
    <row r="300" spans="1:42" ht="15.75" customHeight="1" x14ac:dyDescent="0.3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</row>
    <row r="301" spans="1:42" ht="15.75" customHeight="1" x14ac:dyDescent="0.3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</row>
    <row r="302" spans="1:42" ht="15.75" customHeight="1" x14ac:dyDescent="0.3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</row>
    <row r="303" spans="1:42" ht="15.75" customHeight="1" x14ac:dyDescent="0.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</row>
    <row r="304" spans="1:42" ht="15.75" customHeight="1" x14ac:dyDescent="0.3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</row>
    <row r="305" spans="1:42" ht="15.75" customHeight="1" x14ac:dyDescent="0.3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</row>
    <row r="306" spans="1:42" ht="15.75" customHeight="1" x14ac:dyDescent="0.3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</row>
    <row r="307" spans="1:42" ht="15.75" customHeight="1" x14ac:dyDescent="0.3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</row>
    <row r="308" spans="1:42" ht="15.75" customHeight="1" x14ac:dyDescent="0.3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</row>
    <row r="309" spans="1:42" ht="15.75" customHeight="1" x14ac:dyDescent="0.3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</row>
    <row r="310" spans="1:42" ht="15.75" customHeight="1" x14ac:dyDescent="0.3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</row>
    <row r="311" spans="1:42" ht="15.75" customHeight="1" x14ac:dyDescent="0.3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</row>
    <row r="312" spans="1:42" ht="15.75" customHeight="1" x14ac:dyDescent="0.3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</row>
    <row r="313" spans="1:42" ht="15.75" customHeight="1" x14ac:dyDescent="0.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</row>
    <row r="314" spans="1:42" ht="15.75" customHeight="1" x14ac:dyDescent="0.3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</row>
    <row r="315" spans="1:42" ht="15.75" customHeight="1" x14ac:dyDescent="0.3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</row>
    <row r="316" spans="1:42" ht="15.75" customHeight="1" x14ac:dyDescent="0.3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</row>
    <row r="317" spans="1:42" ht="15.75" customHeight="1" x14ac:dyDescent="0.3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</row>
    <row r="318" spans="1:42" ht="15.75" customHeight="1" x14ac:dyDescent="0.3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</row>
    <row r="319" spans="1:42" ht="15.75" customHeight="1" x14ac:dyDescent="0.3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</row>
    <row r="320" spans="1:42" ht="15.75" customHeight="1" x14ac:dyDescent="0.3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</row>
    <row r="321" spans="1:42" ht="15.75" customHeight="1" x14ac:dyDescent="0.3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</row>
    <row r="322" spans="1:42" ht="15.75" customHeight="1" x14ac:dyDescent="0.3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</row>
    <row r="323" spans="1:42" ht="15.75" customHeight="1" x14ac:dyDescent="0.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</row>
    <row r="324" spans="1:42" ht="15.75" customHeight="1" x14ac:dyDescent="0.3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</row>
    <row r="325" spans="1:42" ht="15.75" customHeight="1" x14ac:dyDescent="0.3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</row>
    <row r="326" spans="1:42" ht="15.75" customHeight="1" x14ac:dyDescent="0.3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</row>
    <row r="327" spans="1:42" ht="15.75" customHeight="1" x14ac:dyDescent="0.3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</row>
    <row r="328" spans="1:42" ht="15.75" customHeight="1" x14ac:dyDescent="0.3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</row>
    <row r="329" spans="1:42" ht="15.75" customHeight="1" x14ac:dyDescent="0.3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</row>
    <row r="330" spans="1:42" ht="15.75" customHeight="1" x14ac:dyDescent="0.3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</row>
    <row r="331" spans="1:42" ht="15.75" customHeight="1" x14ac:dyDescent="0.3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</row>
    <row r="332" spans="1:42" ht="15.75" customHeight="1" x14ac:dyDescent="0.3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</row>
    <row r="333" spans="1:42" ht="15.75" customHeight="1" x14ac:dyDescent="0.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</row>
    <row r="334" spans="1:42" ht="15.75" customHeight="1" x14ac:dyDescent="0.3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</row>
    <row r="335" spans="1:42" ht="15.75" customHeight="1" x14ac:dyDescent="0.3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</row>
    <row r="336" spans="1:42" ht="15.75" customHeight="1" x14ac:dyDescent="0.3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</row>
    <row r="337" spans="1:42" ht="15.75" customHeight="1" x14ac:dyDescent="0.3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</row>
    <row r="338" spans="1:42" ht="15.75" customHeight="1" x14ac:dyDescent="0.3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</row>
    <row r="339" spans="1:42" ht="15.75" customHeight="1" x14ac:dyDescent="0.3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</row>
    <row r="340" spans="1:42" ht="15.75" customHeight="1" x14ac:dyDescent="0.3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</row>
    <row r="341" spans="1:42" ht="15.75" customHeight="1" x14ac:dyDescent="0.3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</row>
    <row r="342" spans="1:42" ht="15.75" customHeight="1" x14ac:dyDescent="0.3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</row>
    <row r="343" spans="1:42" ht="15.75" customHeight="1" x14ac:dyDescent="0.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</row>
    <row r="344" spans="1:42" ht="15.75" customHeight="1" x14ac:dyDescent="0.3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</row>
    <row r="345" spans="1:42" ht="15.75" customHeight="1" x14ac:dyDescent="0.3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</row>
    <row r="346" spans="1:42" ht="15.75" customHeight="1" x14ac:dyDescent="0.3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</row>
    <row r="347" spans="1:42" ht="15.75" customHeight="1" x14ac:dyDescent="0.3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</row>
    <row r="348" spans="1:42" ht="15.75" customHeight="1" x14ac:dyDescent="0.3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</row>
    <row r="349" spans="1:42" ht="15.75" customHeight="1" x14ac:dyDescent="0.3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</row>
    <row r="350" spans="1:42" ht="15.75" customHeight="1" x14ac:dyDescent="0.3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</row>
    <row r="351" spans="1:42" ht="15.75" customHeight="1" x14ac:dyDescent="0.3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</row>
    <row r="352" spans="1:42" ht="15.75" customHeight="1" x14ac:dyDescent="0.3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</row>
    <row r="353" spans="1:42" ht="15.75" customHeight="1" x14ac:dyDescent="0.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</row>
    <row r="354" spans="1:42" ht="15.75" customHeight="1" x14ac:dyDescent="0.3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</row>
    <row r="355" spans="1:42" ht="15.75" customHeight="1" x14ac:dyDescent="0.3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</row>
    <row r="356" spans="1:42" ht="15.75" customHeight="1" x14ac:dyDescent="0.3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</row>
    <row r="357" spans="1:42" ht="15.75" customHeight="1" x14ac:dyDescent="0.3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</row>
    <row r="358" spans="1:42" ht="15.75" customHeight="1" x14ac:dyDescent="0.3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</row>
    <row r="359" spans="1:42" ht="15.75" customHeight="1" x14ac:dyDescent="0.3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</row>
    <row r="360" spans="1:42" ht="15.75" customHeight="1" x14ac:dyDescent="0.3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</row>
    <row r="361" spans="1:42" ht="15.75" customHeight="1" x14ac:dyDescent="0.3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</row>
    <row r="362" spans="1:42" ht="15.75" customHeight="1" x14ac:dyDescent="0.3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</row>
    <row r="363" spans="1:42" ht="15.75" customHeight="1" x14ac:dyDescent="0.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</row>
    <row r="364" spans="1:42" ht="15.75" customHeight="1" x14ac:dyDescent="0.3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</row>
    <row r="365" spans="1:42" ht="15.75" customHeight="1" x14ac:dyDescent="0.3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</row>
    <row r="366" spans="1:42" ht="15.75" customHeight="1" x14ac:dyDescent="0.3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</row>
    <row r="367" spans="1:42" ht="15.75" customHeight="1" x14ac:dyDescent="0.3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</row>
    <row r="368" spans="1:42" ht="15.75" customHeight="1" x14ac:dyDescent="0.3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</row>
    <row r="369" spans="1:42" ht="15.75" customHeight="1" x14ac:dyDescent="0.3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</row>
    <row r="370" spans="1:42" ht="15.75" customHeight="1" x14ac:dyDescent="0.3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</row>
    <row r="371" spans="1:42" ht="15.75" customHeight="1" x14ac:dyDescent="0.3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</row>
    <row r="372" spans="1:42" ht="15.75" customHeight="1" x14ac:dyDescent="0.3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</row>
    <row r="373" spans="1:42" ht="15.75" customHeight="1" x14ac:dyDescent="0.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</row>
    <row r="374" spans="1:42" ht="15.75" customHeight="1" x14ac:dyDescent="0.3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</row>
    <row r="375" spans="1:42" ht="15.75" customHeight="1" x14ac:dyDescent="0.3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</row>
    <row r="376" spans="1:42" ht="15.75" customHeight="1" x14ac:dyDescent="0.3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</row>
    <row r="377" spans="1:42" ht="15.75" customHeight="1" x14ac:dyDescent="0.3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</row>
    <row r="378" spans="1:42" ht="15.75" customHeight="1" x14ac:dyDescent="0.3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</row>
    <row r="379" spans="1:42" ht="15.75" customHeight="1" x14ac:dyDescent="0.3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</row>
    <row r="380" spans="1:42" ht="15.75" customHeight="1" x14ac:dyDescent="0.3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</row>
    <row r="381" spans="1:42" ht="15.75" customHeight="1" x14ac:dyDescent="0.3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</row>
    <row r="382" spans="1:42" ht="15.75" customHeight="1" x14ac:dyDescent="0.3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</row>
    <row r="383" spans="1:42" ht="15.75" customHeight="1" x14ac:dyDescent="0.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</row>
    <row r="384" spans="1:42" ht="15.75" customHeight="1" x14ac:dyDescent="0.3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</row>
    <row r="385" spans="1:42" ht="15.75" customHeight="1" x14ac:dyDescent="0.3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</row>
    <row r="386" spans="1:42" ht="15.75" customHeight="1" x14ac:dyDescent="0.3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</row>
    <row r="387" spans="1:42" ht="15.75" customHeight="1" x14ac:dyDescent="0.3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</row>
    <row r="388" spans="1:42" ht="15.75" customHeight="1" x14ac:dyDescent="0.3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</row>
    <row r="389" spans="1:42" ht="15.75" customHeight="1" x14ac:dyDescent="0.3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</row>
    <row r="390" spans="1:42" ht="15.75" customHeight="1" x14ac:dyDescent="0.3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</row>
    <row r="391" spans="1:42" ht="15.75" customHeight="1" x14ac:dyDescent="0.3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</row>
    <row r="392" spans="1:42" ht="15.75" customHeight="1" x14ac:dyDescent="0.3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</row>
    <row r="393" spans="1:42" ht="15.75" customHeight="1" x14ac:dyDescent="0.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</row>
    <row r="394" spans="1:42" ht="15.75" customHeight="1" x14ac:dyDescent="0.3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</row>
    <row r="395" spans="1:42" ht="15.75" customHeight="1" x14ac:dyDescent="0.3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</row>
    <row r="396" spans="1:42" ht="15.75" customHeight="1" x14ac:dyDescent="0.3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</row>
    <row r="397" spans="1:42" ht="15.75" customHeight="1" x14ac:dyDescent="0.3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</row>
    <row r="398" spans="1:42" ht="15.75" customHeight="1" x14ac:dyDescent="0.3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</row>
    <row r="399" spans="1:42" ht="15.75" customHeight="1" x14ac:dyDescent="0.3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</row>
    <row r="400" spans="1:42" ht="15.75" customHeight="1" x14ac:dyDescent="0.3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</row>
    <row r="401" spans="1:42" ht="15.75" customHeight="1" x14ac:dyDescent="0.3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</row>
    <row r="402" spans="1:42" ht="15.75" customHeight="1" x14ac:dyDescent="0.3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</row>
    <row r="403" spans="1:42" ht="15.75" customHeight="1" x14ac:dyDescent="0.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</row>
    <row r="404" spans="1:42" ht="15.75" customHeight="1" x14ac:dyDescent="0.3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</row>
    <row r="405" spans="1:42" ht="15.75" customHeight="1" x14ac:dyDescent="0.3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</row>
    <row r="406" spans="1:42" ht="15.75" customHeight="1" x14ac:dyDescent="0.3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</row>
    <row r="407" spans="1:42" ht="15.75" customHeight="1" x14ac:dyDescent="0.3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</row>
    <row r="408" spans="1:42" ht="15.75" customHeight="1" x14ac:dyDescent="0.3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</row>
    <row r="409" spans="1:42" ht="15.75" customHeight="1" x14ac:dyDescent="0.3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</row>
    <row r="410" spans="1:42" ht="15.75" customHeight="1" x14ac:dyDescent="0.3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</row>
    <row r="411" spans="1:42" ht="15.75" customHeight="1" x14ac:dyDescent="0.3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</row>
    <row r="412" spans="1:42" ht="15.75" customHeight="1" x14ac:dyDescent="0.3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</row>
    <row r="413" spans="1:42" ht="15.75" customHeight="1" x14ac:dyDescent="0.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</row>
    <row r="414" spans="1:42" ht="15.75" customHeight="1" x14ac:dyDescent="0.3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</row>
    <row r="415" spans="1:42" ht="15.75" customHeight="1" x14ac:dyDescent="0.3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</row>
    <row r="416" spans="1:42" ht="15.75" customHeight="1" x14ac:dyDescent="0.3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</row>
    <row r="417" spans="1:42" ht="15.75" customHeight="1" x14ac:dyDescent="0.3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</row>
    <row r="418" spans="1:42" ht="15.75" customHeight="1" x14ac:dyDescent="0.3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</row>
    <row r="419" spans="1:42" ht="15.75" customHeight="1" x14ac:dyDescent="0.3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</row>
    <row r="420" spans="1:42" ht="15.75" customHeight="1" x14ac:dyDescent="0.3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</row>
    <row r="421" spans="1:42" ht="15.75" customHeight="1" x14ac:dyDescent="0.3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</row>
    <row r="422" spans="1:42" ht="15.75" customHeight="1" x14ac:dyDescent="0.3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</row>
    <row r="423" spans="1:42" ht="15.75" customHeight="1" x14ac:dyDescent="0.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</row>
    <row r="424" spans="1:42" ht="15.75" customHeight="1" x14ac:dyDescent="0.3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</row>
    <row r="425" spans="1:42" ht="15.75" customHeight="1" x14ac:dyDescent="0.3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</row>
    <row r="426" spans="1:42" ht="15.75" customHeight="1" x14ac:dyDescent="0.3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</row>
    <row r="427" spans="1:42" ht="15.75" customHeight="1" x14ac:dyDescent="0.3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</row>
    <row r="428" spans="1:42" ht="15.75" customHeight="1" x14ac:dyDescent="0.3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</row>
    <row r="429" spans="1:42" ht="15.75" customHeight="1" x14ac:dyDescent="0.3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</row>
    <row r="430" spans="1:42" ht="15.75" customHeight="1" x14ac:dyDescent="0.3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</row>
    <row r="431" spans="1:42" ht="15.75" customHeight="1" x14ac:dyDescent="0.3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</row>
    <row r="432" spans="1:42" ht="15.75" customHeight="1" x14ac:dyDescent="0.3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</row>
    <row r="433" spans="1:42" ht="15.75" customHeight="1" x14ac:dyDescent="0.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</row>
    <row r="434" spans="1:42" ht="15.75" customHeight="1" x14ac:dyDescent="0.3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</row>
    <row r="435" spans="1:42" ht="15.75" customHeight="1" x14ac:dyDescent="0.3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</row>
    <row r="436" spans="1:42" ht="15.75" customHeight="1" x14ac:dyDescent="0.3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</row>
    <row r="437" spans="1:42" ht="15.75" customHeight="1" x14ac:dyDescent="0.3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</row>
    <row r="438" spans="1:42" ht="15.75" customHeight="1" x14ac:dyDescent="0.3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</row>
    <row r="439" spans="1:42" ht="15.75" customHeight="1" x14ac:dyDescent="0.3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</row>
    <row r="440" spans="1:42" ht="15.75" customHeight="1" x14ac:dyDescent="0.3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</row>
    <row r="441" spans="1:42" ht="15.75" customHeight="1" x14ac:dyDescent="0.3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</row>
    <row r="442" spans="1:42" ht="15.75" customHeight="1" x14ac:dyDescent="0.3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</row>
    <row r="443" spans="1:42" ht="15.75" customHeight="1" x14ac:dyDescent="0.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</row>
    <row r="444" spans="1:42" ht="15.75" customHeight="1" x14ac:dyDescent="0.3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</row>
    <row r="445" spans="1:42" ht="15.75" customHeight="1" x14ac:dyDescent="0.3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</row>
    <row r="446" spans="1:42" ht="15.75" customHeight="1" x14ac:dyDescent="0.3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</row>
    <row r="447" spans="1:42" ht="15.75" customHeight="1" x14ac:dyDescent="0.3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</row>
    <row r="448" spans="1:42" ht="15.75" customHeight="1" x14ac:dyDescent="0.3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</row>
    <row r="449" spans="1:42" ht="15.75" customHeight="1" x14ac:dyDescent="0.3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</row>
    <row r="450" spans="1:42" ht="15.75" customHeight="1" x14ac:dyDescent="0.3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</row>
    <row r="451" spans="1:42" ht="15.75" customHeight="1" x14ac:dyDescent="0.3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</row>
    <row r="452" spans="1:42" ht="15.75" customHeight="1" x14ac:dyDescent="0.3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</row>
    <row r="453" spans="1:42" ht="15.75" customHeight="1" x14ac:dyDescent="0.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</row>
    <row r="454" spans="1:42" ht="15.75" customHeight="1" x14ac:dyDescent="0.3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</row>
    <row r="455" spans="1:42" ht="15.75" customHeight="1" x14ac:dyDescent="0.3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</row>
    <row r="456" spans="1:42" ht="15.75" customHeight="1" x14ac:dyDescent="0.3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</row>
    <row r="457" spans="1:42" ht="15.75" customHeight="1" x14ac:dyDescent="0.3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</row>
    <row r="458" spans="1:42" ht="15.75" customHeight="1" x14ac:dyDescent="0.3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</row>
    <row r="459" spans="1:42" ht="15.75" customHeight="1" x14ac:dyDescent="0.3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</row>
    <row r="460" spans="1:42" ht="15.75" customHeight="1" x14ac:dyDescent="0.3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</row>
    <row r="461" spans="1:42" ht="15.75" customHeight="1" x14ac:dyDescent="0.3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</row>
    <row r="462" spans="1:42" ht="15.75" customHeight="1" x14ac:dyDescent="0.3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</row>
    <row r="463" spans="1:42" ht="15.75" customHeight="1" x14ac:dyDescent="0.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</row>
    <row r="464" spans="1:42" ht="15.75" customHeight="1" x14ac:dyDescent="0.3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</row>
    <row r="465" spans="1:42" ht="15.75" customHeight="1" x14ac:dyDescent="0.3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</row>
    <row r="466" spans="1:42" ht="15.75" customHeight="1" x14ac:dyDescent="0.3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</row>
    <row r="467" spans="1:42" ht="15.75" customHeight="1" x14ac:dyDescent="0.3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</row>
    <row r="468" spans="1:42" ht="15.75" customHeight="1" x14ac:dyDescent="0.3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</row>
    <row r="469" spans="1:42" ht="15.75" customHeight="1" x14ac:dyDescent="0.3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</row>
    <row r="470" spans="1:42" ht="15.75" customHeight="1" x14ac:dyDescent="0.3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</row>
    <row r="471" spans="1:42" ht="15.75" customHeight="1" x14ac:dyDescent="0.3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</row>
    <row r="472" spans="1:42" ht="15.75" customHeight="1" x14ac:dyDescent="0.3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</row>
    <row r="473" spans="1:42" ht="15.75" customHeight="1" x14ac:dyDescent="0.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</row>
    <row r="474" spans="1:42" ht="15.75" customHeight="1" x14ac:dyDescent="0.3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</row>
    <row r="475" spans="1:42" ht="15.75" customHeight="1" x14ac:dyDescent="0.3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</row>
    <row r="476" spans="1:42" ht="15.75" customHeight="1" x14ac:dyDescent="0.3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</row>
    <row r="477" spans="1:42" ht="15.75" customHeight="1" x14ac:dyDescent="0.3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</row>
    <row r="478" spans="1:42" ht="15.75" customHeight="1" x14ac:dyDescent="0.3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</row>
    <row r="479" spans="1:42" ht="15.75" customHeight="1" x14ac:dyDescent="0.3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</row>
    <row r="480" spans="1:42" ht="15.75" customHeight="1" x14ac:dyDescent="0.3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</row>
    <row r="481" spans="1:42" ht="15.75" customHeight="1" x14ac:dyDescent="0.3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</row>
    <row r="482" spans="1:42" ht="15.75" customHeight="1" x14ac:dyDescent="0.3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</row>
    <row r="483" spans="1:42" ht="15.75" customHeight="1" x14ac:dyDescent="0.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</row>
    <row r="484" spans="1:42" ht="15.75" customHeight="1" x14ac:dyDescent="0.3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</row>
    <row r="485" spans="1:42" ht="15.75" customHeight="1" x14ac:dyDescent="0.3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</row>
    <row r="486" spans="1:42" ht="15.75" customHeight="1" x14ac:dyDescent="0.3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</row>
    <row r="487" spans="1:42" ht="15.75" customHeight="1" x14ac:dyDescent="0.3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</row>
    <row r="488" spans="1:42" ht="15.75" customHeight="1" x14ac:dyDescent="0.3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</row>
    <row r="489" spans="1:42" ht="15.75" customHeight="1" x14ac:dyDescent="0.3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</row>
    <row r="490" spans="1:42" ht="15.75" customHeight="1" x14ac:dyDescent="0.3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</row>
    <row r="491" spans="1:42" ht="15.75" customHeight="1" x14ac:dyDescent="0.3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</row>
    <row r="492" spans="1:42" ht="15.75" customHeight="1" x14ac:dyDescent="0.3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</row>
    <row r="493" spans="1:42" ht="15.75" customHeight="1" x14ac:dyDescent="0.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</row>
    <row r="494" spans="1:42" ht="15.75" customHeight="1" x14ac:dyDescent="0.3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</row>
    <row r="495" spans="1:42" ht="15.75" customHeight="1" x14ac:dyDescent="0.3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</row>
    <row r="496" spans="1:42" ht="15.75" customHeight="1" x14ac:dyDescent="0.3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</row>
    <row r="497" spans="1:42" ht="15.75" customHeight="1" x14ac:dyDescent="0.3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</row>
    <row r="498" spans="1:42" ht="15.75" customHeight="1" x14ac:dyDescent="0.3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</row>
    <row r="499" spans="1:42" ht="15.75" customHeight="1" x14ac:dyDescent="0.3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</row>
    <row r="500" spans="1:42" ht="15.75" customHeight="1" x14ac:dyDescent="0.3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</row>
    <row r="501" spans="1:42" ht="15.75" customHeight="1" x14ac:dyDescent="0.3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</row>
    <row r="502" spans="1:42" ht="15.75" customHeight="1" x14ac:dyDescent="0.3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</row>
    <row r="503" spans="1:42" ht="15.75" customHeight="1" x14ac:dyDescent="0.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</row>
    <row r="504" spans="1:42" ht="15.75" customHeight="1" x14ac:dyDescent="0.3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</row>
    <row r="505" spans="1:42" ht="15.75" customHeight="1" x14ac:dyDescent="0.3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</row>
    <row r="506" spans="1:42" ht="15.75" customHeight="1" x14ac:dyDescent="0.3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</row>
    <row r="507" spans="1:42" ht="15.75" customHeight="1" x14ac:dyDescent="0.3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</row>
    <row r="508" spans="1:42" ht="15.75" customHeight="1" x14ac:dyDescent="0.3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</row>
    <row r="509" spans="1:42" ht="15.75" customHeight="1" x14ac:dyDescent="0.3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</row>
    <row r="510" spans="1:42" ht="15.75" customHeight="1" x14ac:dyDescent="0.3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</row>
    <row r="511" spans="1:42" ht="15.75" customHeight="1" x14ac:dyDescent="0.3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</row>
    <row r="512" spans="1:42" ht="15.75" customHeight="1" x14ac:dyDescent="0.3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</row>
    <row r="513" spans="1:42" ht="15.75" customHeight="1" x14ac:dyDescent="0.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</row>
    <row r="514" spans="1:42" ht="15.75" customHeight="1" x14ac:dyDescent="0.3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</row>
    <row r="515" spans="1:42" ht="15.75" customHeight="1" x14ac:dyDescent="0.3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</row>
    <row r="516" spans="1:42" ht="15.75" customHeight="1" x14ac:dyDescent="0.3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</row>
    <row r="517" spans="1:42" ht="15.75" customHeight="1" x14ac:dyDescent="0.3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</row>
    <row r="518" spans="1:42" ht="15.75" customHeight="1" x14ac:dyDescent="0.3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</row>
    <row r="519" spans="1:42" ht="15.75" customHeight="1" x14ac:dyDescent="0.3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</row>
    <row r="520" spans="1:42" ht="15.75" customHeight="1" x14ac:dyDescent="0.3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</row>
    <row r="521" spans="1:42" ht="15.75" customHeight="1" x14ac:dyDescent="0.3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</row>
    <row r="522" spans="1:42" ht="15.75" customHeight="1" x14ac:dyDescent="0.3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</row>
    <row r="523" spans="1:42" ht="15.75" customHeight="1" x14ac:dyDescent="0.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</row>
    <row r="524" spans="1:42" ht="15.75" customHeight="1" x14ac:dyDescent="0.3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</row>
    <row r="525" spans="1:42" ht="15.75" customHeight="1" x14ac:dyDescent="0.3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</row>
    <row r="526" spans="1:42" ht="15.75" customHeight="1" x14ac:dyDescent="0.3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</row>
    <row r="527" spans="1:42" ht="15.75" customHeight="1" x14ac:dyDescent="0.3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</row>
    <row r="528" spans="1:42" ht="15.75" customHeight="1" x14ac:dyDescent="0.3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</row>
    <row r="529" spans="1:42" ht="15.75" customHeight="1" x14ac:dyDescent="0.3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</row>
    <row r="530" spans="1:42" ht="15.75" customHeight="1" x14ac:dyDescent="0.3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</row>
    <row r="531" spans="1:42" ht="15.75" customHeight="1" x14ac:dyDescent="0.3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</row>
    <row r="532" spans="1:42" ht="15.75" customHeight="1" x14ac:dyDescent="0.3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</row>
    <row r="533" spans="1:42" ht="15.75" customHeight="1" x14ac:dyDescent="0.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</row>
    <row r="534" spans="1:42" ht="15.75" customHeight="1" x14ac:dyDescent="0.3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</row>
    <row r="535" spans="1:42" ht="15.75" customHeight="1" x14ac:dyDescent="0.3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</row>
    <row r="536" spans="1:42" ht="15.75" customHeight="1" x14ac:dyDescent="0.3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</row>
    <row r="537" spans="1:42" ht="15.75" customHeight="1" x14ac:dyDescent="0.3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</row>
    <row r="538" spans="1:42" ht="15.75" customHeight="1" x14ac:dyDescent="0.3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</row>
    <row r="539" spans="1:42" ht="15.75" customHeight="1" x14ac:dyDescent="0.3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</row>
    <row r="540" spans="1:42" ht="15.75" customHeight="1" x14ac:dyDescent="0.3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</row>
    <row r="541" spans="1:42" ht="15.75" customHeight="1" x14ac:dyDescent="0.3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</row>
    <row r="542" spans="1:42" ht="15.75" customHeight="1" x14ac:dyDescent="0.3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</row>
    <row r="543" spans="1:42" ht="15.75" customHeight="1" x14ac:dyDescent="0.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</row>
    <row r="544" spans="1:42" ht="15.75" customHeight="1" x14ac:dyDescent="0.3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</row>
    <row r="545" spans="1:42" ht="15.75" customHeight="1" x14ac:dyDescent="0.3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</row>
    <row r="546" spans="1:42" ht="15.75" customHeight="1" x14ac:dyDescent="0.3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</row>
    <row r="547" spans="1:42" ht="15.75" customHeight="1" x14ac:dyDescent="0.3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</row>
    <row r="548" spans="1:42" ht="15.75" customHeight="1" x14ac:dyDescent="0.3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</row>
    <row r="549" spans="1:42" ht="15.75" customHeight="1" x14ac:dyDescent="0.3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</row>
    <row r="550" spans="1:42" ht="15.75" customHeight="1" x14ac:dyDescent="0.3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</row>
    <row r="551" spans="1:42" ht="15.75" customHeight="1" x14ac:dyDescent="0.3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</row>
    <row r="552" spans="1:42" ht="15.75" customHeight="1" x14ac:dyDescent="0.3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</row>
    <row r="553" spans="1:42" ht="15.75" customHeight="1" x14ac:dyDescent="0.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</row>
    <row r="554" spans="1:42" ht="15.75" customHeight="1" x14ac:dyDescent="0.3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</row>
    <row r="555" spans="1:42" ht="15.75" customHeight="1" x14ac:dyDescent="0.3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</row>
    <row r="556" spans="1:42" ht="15.75" customHeight="1" x14ac:dyDescent="0.3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</row>
    <row r="557" spans="1:42" ht="15.75" customHeight="1" x14ac:dyDescent="0.3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</row>
    <row r="558" spans="1:42" ht="15.75" customHeight="1" x14ac:dyDescent="0.3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</row>
    <row r="559" spans="1:42" ht="15.75" customHeight="1" x14ac:dyDescent="0.3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</row>
    <row r="560" spans="1:42" ht="15.75" customHeight="1" x14ac:dyDescent="0.3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</row>
    <row r="561" spans="1:42" ht="15.75" customHeight="1" x14ac:dyDescent="0.3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</row>
    <row r="562" spans="1:42" ht="15.75" customHeight="1" x14ac:dyDescent="0.3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</row>
    <row r="563" spans="1:42" ht="15.75" customHeight="1" x14ac:dyDescent="0.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</row>
    <row r="564" spans="1:42" ht="15.75" customHeight="1" x14ac:dyDescent="0.3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</row>
    <row r="565" spans="1:42" ht="15.75" customHeight="1" x14ac:dyDescent="0.3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</row>
    <row r="566" spans="1:42" ht="15.75" customHeight="1" x14ac:dyDescent="0.3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</row>
    <row r="567" spans="1:42" ht="15.75" customHeight="1" x14ac:dyDescent="0.3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</row>
    <row r="568" spans="1:42" ht="15.75" customHeight="1" x14ac:dyDescent="0.3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</row>
    <row r="569" spans="1:42" ht="15.75" customHeight="1" x14ac:dyDescent="0.3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</row>
    <row r="570" spans="1:42" ht="15.75" customHeight="1" x14ac:dyDescent="0.3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</row>
    <row r="571" spans="1:42" ht="15.75" customHeight="1" x14ac:dyDescent="0.3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</row>
    <row r="572" spans="1:42" ht="15.75" customHeight="1" x14ac:dyDescent="0.3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</row>
    <row r="573" spans="1:42" ht="15.75" customHeight="1" x14ac:dyDescent="0.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</row>
    <row r="574" spans="1:42" ht="15.75" customHeight="1" x14ac:dyDescent="0.3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</row>
    <row r="575" spans="1:42" ht="15.75" customHeight="1" x14ac:dyDescent="0.3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</row>
    <row r="576" spans="1:42" ht="15.75" customHeight="1" x14ac:dyDescent="0.3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</row>
    <row r="577" spans="1:42" ht="15.75" customHeight="1" x14ac:dyDescent="0.3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</row>
    <row r="578" spans="1:42" ht="15.75" customHeight="1" x14ac:dyDescent="0.3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</row>
    <row r="579" spans="1:42" ht="15.75" customHeight="1" x14ac:dyDescent="0.3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</row>
    <row r="580" spans="1:42" ht="15.75" customHeight="1" x14ac:dyDescent="0.3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</row>
    <row r="581" spans="1:42" ht="15.75" customHeight="1" x14ac:dyDescent="0.3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</row>
    <row r="582" spans="1:42" ht="15.75" customHeight="1" x14ac:dyDescent="0.3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</row>
    <row r="583" spans="1:42" ht="15.75" customHeight="1" x14ac:dyDescent="0.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</row>
    <row r="584" spans="1:42" ht="15.75" customHeight="1" x14ac:dyDescent="0.3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</row>
    <row r="585" spans="1:42" ht="15.75" customHeight="1" x14ac:dyDescent="0.3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</row>
    <row r="586" spans="1:42" ht="15.75" customHeight="1" x14ac:dyDescent="0.3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</row>
    <row r="587" spans="1:42" ht="15.75" customHeight="1" x14ac:dyDescent="0.3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</row>
    <row r="588" spans="1:42" ht="15.75" customHeight="1" x14ac:dyDescent="0.3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</row>
    <row r="589" spans="1:42" ht="15.75" customHeight="1" x14ac:dyDescent="0.3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</row>
    <row r="590" spans="1:42" ht="15.75" customHeight="1" x14ac:dyDescent="0.3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</row>
    <row r="591" spans="1:42" ht="15.75" customHeight="1" x14ac:dyDescent="0.3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</row>
    <row r="592" spans="1:42" ht="15.75" customHeight="1" x14ac:dyDescent="0.3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</row>
    <row r="593" spans="1:42" ht="15.75" customHeight="1" x14ac:dyDescent="0.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</row>
    <row r="594" spans="1:42" ht="15.75" customHeight="1" x14ac:dyDescent="0.3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</row>
    <row r="595" spans="1:42" ht="15.75" customHeight="1" x14ac:dyDescent="0.3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</row>
    <row r="596" spans="1:42" ht="15.75" customHeight="1" x14ac:dyDescent="0.3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</row>
    <row r="597" spans="1:42" ht="15.75" customHeight="1" x14ac:dyDescent="0.3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</row>
    <row r="598" spans="1:42" ht="15.75" customHeight="1" x14ac:dyDescent="0.3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</row>
    <row r="599" spans="1:42" ht="15.75" customHeight="1" x14ac:dyDescent="0.3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</row>
    <row r="600" spans="1:42" ht="15.75" customHeight="1" x14ac:dyDescent="0.3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</row>
    <row r="601" spans="1:42" ht="15.75" customHeight="1" x14ac:dyDescent="0.3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</row>
    <row r="602" spans="1:42" ht="15.75" customHeight="1" x14ac:dyDescent="0.3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</row>
    <row r="603" spans="1:42" ht="15.75" customHeight="1" x14ac:dyDescent="0.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</row>
    <row r="604" spans="1:42" ht="15.75" customHeight="1" x14ac:dyDescent="0.3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</row>
    <row r="605" spans="1:42" ht="15.75" customHeight="1" x14ac:dyDescent="0.3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</row>
    <row r="606" spans="1:42" ht="15.75" customHeight="1" x14ac:dyDescent="0.3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</row>
    <row r="607" spans="1:42" ht="15.75" customHeight="1" x14ac:dyDescent="0.3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</row>
    <row r="608" spans="1:42" ht="15.75" customHeight="1" x14ac:dyDescent="0.3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</row>
    <row r="609" spans="1:42" ht="15.75" customHeight="1" x14ac:dyDescent="0.3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</row>
    <row r="610" spans="1:42" ht="15.75" customHeight="1" x14ac:dyDescent="0.3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</row>
    <row r="611" spans="1:42" ht="15.75" customHeight="1" x14ac:dyDescent="0.3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</row>
    <row r="612" spans="1:42" ht="15.75" customHeight="1" x14ac:dyDescent="0.3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</row>
    <row r="613" spans="1:42" ht="15.75" customHeight="1" x14ac:dyDescent="0.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</row>
    <row r="614" spans="1:42" ht="15.75" customHeight="1" x14ac:dyDescent="0.3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</row>
    <row r="615" spans="1:42" ht="15.75" customHeight="1" x14ac:dyDescent="0.3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</row>
    <row r="616" spans="1:42" ht="15.75" customHeight="1" x14ac:dyDescent="0.3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</row>
    <row r="617" spans="1:42" ht="15.75" customHeight="1" x14ac:dyDescent="0.3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</row>
    <row r="618" spans="1:42" ht="15.75" customHeight="1" x14ac:dyDescent="0.3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</row>
    <row r="619" spans="1:42" ht="15.75" customHeight="1" x14ac:dyDescent="0.3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</row>
    <row r="620" spans="1:42" ht="15.75" customHeight="1" x14ac:dyDescent="0.3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</row>
    <row r="621" spans="1:42" ht="15.75" customHeight="1" x14ac:dyDescent="0.3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</row>
    <row r="622" spans="1:42" ht="15.75" customHeight="1" x14ac:dyDescent="0.3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</row>
    <row r="623" spans="1:42" ht="15.75" customHeight="1" x14ac:dyDescent="0.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</row>
    <row r="624" spans="1:42" ht="15.75" customHeight="1" x14ac:dyDescent="0.3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</row>
    <row r="625" spans="1:42" ht="15.75" customHeight="1" x14ac:dyDescent="0.3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</row>
    <row r="626" spans="1:42" ht="15.75" customHeight="1" x14ac:dyDescent="0.3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</row>
    <row r="627" spans="1:42" ht="15.75" customHeight="1" x14ac:dyDescent="0.3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</row>
    <row r="628" spans="1:42" ht="15.75" customHeight="1" x14ac:dyDescent="0.3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</row>
    <row r="629" spans="1:42" ht="15.75" customHeight="1" x14ac:dyDescent="0.3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</row>
    <row r="630" spans="1:42" ht="15.75" customHeight="1" x14ac:dyDescent="0.3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</row>
    <row r="631" spans="1:42" ht="15.75" customHeight="1" x14ac:dyDescent="0.3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</row>
    <row r="632" spans="1:42" ht="15.75" customHeight="1" x14ac:dyDescent="0.3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</row>
    <row r="633" spans="1:42" ht="15.75" customHeight="1" x14ac:dyDescent="0.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</row>
    <row r="634" spans="1:42" ht="15.75" customHeight="1" x14ac:dyDescent="0.3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</row>
    <row r="635" spans="1:42" ht="15.75" customHeight="1" x14ac:dyDescent="0.3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</row>
    <row r="636" spans="1:42" ht="15.75" customHeight="1" x14ac:dyDescent="0.3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</row>
    <row r="637" spans="1:42" ht="15.75" customHeight="1" x14ac:dyDescent="0.3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</row>
    <row r="638" spans="1:42" ht="15.75" customHeight="1" x14ac:dyDescent="0.3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</row>
    <row r="639" spans="1:42" ht="15.75" customHeight="1" x14ac:dyDescent="0.3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</row>
    <row r="640" spans="1:42" ht="15.75" customHeight="1" x14ac:dyDescent="0.3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</row>
    <row r="641" spans="1:42" ht="15.75" customHeight="1" x14ac:dyDescent="0.3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</row>
    <row r="642" spans="1:42" ht="15.75" customHeight="1" x14ac:dyDescent="0.3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</row>
    <row r="643" spans="1:42" ht="15.75" customHeight="1" x14ac:dyDescent="0.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</row>
    <row r="644" spans="1:42" ht="15.75" customHeight="1" x14ac:dyDescent="0.3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</row>
    <row r="645" spans="1:42" ht="15.75" customHeight="1" x14ac:dyDescent="0.3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</row>
    <row r="646" spans="1:42" ht="15.75" customHeight="1" x14ac:dyDescent="0.3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</row>
    <row r="647" spans="1:42" ht="15.75" customHeight="1" x14ac:dyDescent="0.3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</row>
    <row r="648" spans="1:42" ht="15.75" customHeight="1" x14ac:dyDescent="0.3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</row>
    <row r="649" spans="1:42" ht="15.75" customHeight="1" x14ac:dyDescent="0.3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</row>
    <row r="650" spans="1:42" ht="15.75" customHeight="1" x14ac:dyDescent="0.3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</row>
    <row r="651" spans="1:42" ht="15.75" customHeight="1" x14ac:dyDescent="0.3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</row>
    <row r="652" spans="1:42" ht="15.75" customHeight="1" x14ac:dyDescent="0.3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</row>
    <row r="653" spans="1:42" ht="15.75" customHeight="1" x14ac:dyDescent="0.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</row>
    <row r="654" spans="1:42" ht="15.75" customHeight="1" x14ac:dyDescent="0.3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</row>
    <row r="655" spans="1:42" ht="15.75" customHeight="1" x14ac:dyDescent="0.3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</row>
    <row r="656" spans="1:42" ht="15.75" customHeight="1" x14ac:dyDescent="0.3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</row>
    <row r="657" spans="1:42" ht="15.75" customHeight="1" x14ac:dyDescent="0.3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</row>
    <row r="658" spans="1:42" ht="15.75" customHeight="1" x14ac:dyDescent="0.3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</row>
    <row r="659" spans="1:42" ht="15.75" customHeight="1" x14ac:dyDescent="0.3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</row>
    <row r="660" spans="1:42" ht="15.75" customHeight="1" x14ac:dyDescent="0.3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</row>
    <row r="661" spans="1:42" ht="15.75" customHeight="1" x14ac:dyDescent="0.3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</row>
    <row r="662" spans="1:42" ht="15.75" customHeight="1" x14ac:dyDescent="0.3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</row>
    <row r="663" spans="1:42" ht="15.75" customHeight="1" x14ac:dyDescent="0.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</row>
    <row r="664" spans="1:42" ht="15.75" customHeight="1" x14ac:dyDescent="0.3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</row>
    <row r="665" spans="1:42" ht="15.75" customHeight="1" x14ac:dyDescent="0.3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</row>
    <row r="666" spans="1:42" ht="15.75" customHeight="1" x14ac:dyDescent="0.3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</row>
    <row r="667" spans="1:42" ht="15.75" customHeight="1" x14ac:dyDescent="0.3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</row>
    <row r="668" spans="1:42" ht="15.75" customHeight="1" x14ac:dyDescent="0.3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</row>
    <row r="669" spans="1:42" ht="15.75" customHeight="1" x14ac:dyDescent="0.3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</row>
    <row r="670" spans="1:42" ht="15.75" customHeight="1" x14ac:dyDescent="0.3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</row>
    <row r="671" spans="1:42" ht="15.75" customHeight="1" x14ac:dyDescent="0.3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</row>
    <row r="672" spans="1:42" ht="15.75" customHeight="1" x14ac:dyDescent="0.3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</row>
    <row r="673" spans="1:42" ht="15.75" customHeight="1" x14ac:dyDescent="0.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</row>
    <row r="674" spans="1:42" ht="15.75" customHeight="1" x14ac:dyDescent="0.3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</row>
    <row r="675" spans="1:42" ht="15.75" customHeight="1" x14ac:dyDescent="0.3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</row>
    <row r="676" spans="1:42" ht="15.75" customHeight="1" x14ac:dyDescent="0.3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</row>
    <row r="677" spans="1:42" ht="15.75" customHeight="1" x14ac:dyDescent="0.3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</row>
    <row r="678" spans="1:42" ht="15.75" customHeight="1" x14ac:dyDescent="0.3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</row>
    <row r="679" spans="1:42" ht="15.75" customHeight="1" x14ac:dyDescent="0.3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</row>
    <row r="680" spans="1:42" ht="15.75" customHeight="1" x14ac:dyDescent="0.3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</row>
    <row r="681" spans="1:42" ht="15.75" customHeight="1" x14ac:dyDescent="0.3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</row>
    <row r="682" spans="1:42" ht="15.75" customHeight="1" x14ac:dyDescent="0.3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</row>
    <row r="683" spans="1:42" ht="15.75" customHeight="1" x14ac:dyDescent="0.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</row>
    <row r="684" spans="1:42" ht="15.75" customHeight="1" x14ac:dyDescent="0.3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</row>
    <row r="685" spans="1:42" ht="15.75" customHeight="1" x14ac:dyDescent="0.3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</row>
    <row r="686" spans="1:42" ht="15.75" customHeight="1" x14ac:dyDescent="0.3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</row>
    <row r="687" spans="1:42" ht="15.75" customHeight="1" x14ac:dyDescent="0.3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</row>
    <row r="688" spans="1:42" ht="15.75" customHeight="1" x14ac:dyDescent="0.3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</row>
    <row r="689" spans="1:42" ht="15.75" customHeight="1" x14ac:dyDescent="0.3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</row>
    <row r="690" spans="1:42" ht="15.75" customHeight="1" x14ac:dyDescent="0.3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</row>
    <row r="691" spans="1:42" ht="15.75" customHeight="1" x14ac:dyDescent="0.3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</row>
    <row r="692" spans="1:42" ht="15.75" customHeight="1" x14ac:dyDescent="0.3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</row>
    <row r="693" spans="1:42" ht="15.75" customHeight="1" x14ac:dyDescent="0.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</row>
    <row r="694" spans="1:42" ht="15.75" customHeight="1" x14ac:dyDescent="0.3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</row>
    <row r="695" spans="1:42" ht="15.75" customHeight="1" x14ac:dyDescent="0.3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</row>
    <row r="696" spans="1:42" ht="15.75" customHeight="1" x14ac:dyDescent="0.3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</row>
    <row r="697" spans="1:42" ht="15.75" customHeight="1" x14ac:dyDescent="0.3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</row>
    <row r="698" spans="1:42" ht="15.75" customHeight="1" x14ac:dyDescent="0.3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</row>
    <row r="699" spans="1:42" ht="15.75" customHeight="1" x14ac:dyDescent="0.3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</row>
    <row r="700" spans="1:42" ht="15.75" customHeight="1" x14ac:dyDescent="0.3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</row>
    <row r="701" spans="1:42" ht="15.75" customHeight="1" x14ac:dyDescent="0.3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</row>
    <row r="702" spans="1:42" ht="15.75" customHeight="1" x14ac:dyDescent="0.3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</row>
    <row r="703" spans="1:42" ht="15.75" customHeight="1" x14ac:dyDescent="0.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</row>
    <row r="704" spans="1:42" ht="15.75" customHeight="1" x14ac:dyDescent="0.3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</row>
    <row r="705" spans="1:42" ht="15.75" customHeight="1" x14ac:dyDescent="0.3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</row>
    <row r="706" spans="1:42" ht="15.75" customHeight="1" x14ac:dyDescent="0.3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</row>
    <row r="707" spans="1:42" ht="15.75" customHeight="1" x14ac:dyDescent="0.3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</row>
    <row r="708" spans="1:42" ht="15.75" customHeight="1" x14ac:dyDescent="0.3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</row>
    <row r="709" spans="1:42" ht="15.75" customHeight="1" x14ac:dyDescent="0.3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</row>
    <row r="710" spans="1:42" ht="15.75" customHeight="1" x14ac:dyDescent="0.3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</row>
    <row r="711" spans="1:42" ht="15.75" customHeight="1" x14ac:dyDescent="0.3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</row>
    <row r="712" spans="1:42" ht="15.75" customHeight="1" x14ac:dyDescent="0.3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</row>
    <row r="713" spans="1:42" ht="15.75" customHeight="1" x14ac:dyDescent="0.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</row>
    <row r="714" spans="1:42" ht="15.75" customHeight="1" x14ac:dyDescent="0.3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</row>
    <row r="715" spans="1:42" ht="15.75" customHeight="1" x14ac:dyDescent="0.3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</row>
    <row r="716" spans="1:42" ht="15.75" customHeight="1" x14ac:dyDescent="0.3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</row>
    <row r="717" spans="1:42" ht="15.75" customHeight="1" x14ac:dyDescent="0.3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</row>
    <row r="718" spans="1:42" ht="15.75" customHeight="1" x14ac:dyDescent="0.3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</row>
    <row r="719" spans="1:42" ht="15.75" customHeight="1" x14ac:dyDescent="0.3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</row>
    <row r="720" spans="1:42" ht="15.75" customHeight="1" x14ac:dyDescent="0.3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</row>
    <row r="721" spans="1:42" ht="15.75" customHeight="1" x14ac:dyDescent="0.3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</row>
    <row r="722" spans="1:42" ht="15.75" customHeight="1" x14ac:dyDescent="0.3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</row>
    <row r="723" spans="1:42" ht="15.75" customHeight="1" x14ac:dyDescent="0.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</row>
    <row r="724" spans="1:42" ht="15.75" customHeight="1" x14ac:dyDescent="0.3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</row>
    <row r="725" spans="1:42" ht="15.75" customHeight="1" x14ac:dyDescent="0.3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</row>
    <row r="726" spans="1:42" ht="15.75" customHeight="1" x14ac:dyDescent="0.3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</row>
    <row r="727" spans="1:42" ht="15.75" customHeight="1" x14ac:dyDescent="0.3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</row>
    <row r="728" spans="1:42" ht="15.75" customHeight="1" x14ac:dyDescent="0.3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</row>
    <row r="729" spans="1:42" ht="15.75" customHeight="1" x14ac:dyDescent="0.3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</row>
    <row r="730" spans="1:42" ht="15.75" customHeight="1" x14ac:dyDescent="0.3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</row>
    <row r="731" spans="1:42" ht="15.75" customHeight="1" x14ac:dyDescent="0.3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</row>
    <row r="732" spans="1:42" ht="15.75" customHeight="1" x14ac:dyDescent="0.3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</row>
    <row r="733" spans="1:42" ht="15.75" customHeight="1" x14ac:dyDescent="0.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</row>
    <row r="734" spans="1:42" ht="15.75" customHeight="1" x14ac:dyDescent="0.3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</row>
    <row r="735" spans="1:42" ht="15.75" customHeight="1" x14ac:dyDescent="0.3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</row>
    <row r="736" spans="1:42" ht="15.75" customHeight="1" x14ac:dyDescent="0.3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</row>
    <row r="737" spans="1:42" ht="15.75" customHeight="1" x14ac:dyDescent="0.3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</row>
    <row r="738" spans="1:42" ht="15.75" customHeight="1" x14ac:dyDescent="0.3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</row>
    <row r="739" spans="1:42" ht="15.75" customHeight="1" x14ac:dyDescent="0.3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</row>
    <row r="740" spans="1:42" ht="15.75" customHeight="1" x14ac:dyDescent="0.3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</row>
    <row r="741" spans="1:42" ht="15.75" customHeight="1" x14ac:dyDescent="0.3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</row>
    <row r="742" spans="1:42" ht="15.75" customHeight="1" x14ac:dyDescent="0.3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</row>
    <row r="743" spans="1:42" ht="15.75" customHeight="1" x14ac:dyDescent="0.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</row>
    <row r="744" spans="1:42" ht="15.75" customHeight="1" x14ac:dyDescent="0.3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</row>
    <row r="745" spans="1:42" ht="15.75" customHeight="1" x14ac:dyDescent="0.3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</row>
    <row r="746" spans="1:42" ht="15.75" customHeight="1" x14ac:dyDescent="0.3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</row>
    <row r="747" spans="1:42" ht="15.75" customHeight="1" x14ac:dyDescent="0.3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</row>
    <row r="748" spans="1:42" ht="15.75" customHeight="1" x14ac:dyDescent="0.3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</row>
    <row r="749" spans="1:42" ht="15.75" customHeight="1" x14ac:dyDescent="0.3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</row>
    <row r="750" spans="1:42" ht="15.75" customHeight="1" x14ac:dyDescent="0.3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</row>
    <row r="751" spans="1:42" ht="15.75" customHeight="1" x14ac:dyDescent="0.3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</row>
    <row r="752" spans="1:42" ht="15.75" customHeight="1" x14ac:dyDescent="0.3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</row>
    <row r="753" spans="1:42" ht="15.75" customHeight="1" x14ac:dyDescent="0.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</row>
    <row r="754" spans="1:42" ht="15.75" customHeight="1" x14ac:dyDescent="0.3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</row>
    <row r="755" spans="1:42" ht="15.75" customHeight="1" x14ac:dyDescent="0.3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</row>
    <row r="756" spans="1:42" ht="15.75" customHeight="1" x14ac:dyDescent="0.3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</row>
    <row r="757" spans="1:42" ht="15.75" customHeight="1" x14ac:dyDescent="0.3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</row>
    <row r="758" spans="1:42" ht="15.75" customHeight="1" x14ac:dyDescent="0.3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</row>
    <row r="759" spans="1:42" ht="15.75" customHeight="1" x14ac:dyDescent="0.3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</row>
    <row r="760" spans="1:42" ht="15.75" customHeight="1" x14ac:dyDescent="0.3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</row>
    <row r="761" spans="1:42" ht="15.75" customHeight="1" x14ac:dyDescent="0.3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</row>
    <row r="762" spans="1:42" ht="15.75" customHeight="1" x14ac:dyDescent="0.3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</row>
    <row r="763" spans="1:42" ht="15.75" customHeight="1" x14ac:dyDescent="0.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</row>
    <row r="764" spans="1:42" ht="15.75" customHeight="1" x14ac:dyDescent="0.3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</row>
    <row r="765" spans="1:42" ht="15.75" customHeight="1" x14ac:dyDescent="0.3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</row>
    <row r="766" spans="1:42" ht="15.75" customHeight="1" x14ac:dyDescent="0.3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</row>
    <row r="767" spans="1:42" ht="15.75" customHeight="1" x14ac:dyDescent="0.3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</row>
    <row r="768" spans="1:42" ht="15.75" customHeight="1" x14ac:dyDescent="0.3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</row>
    <row r="769" spans="1:42" ht="15.75" customHeight="1" x14ac:dyDescent="0.3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</row>
    <row r="770" spans="1:42" ht="15.75" customHeight="1" x14ac:dyDescent="0.3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</row>
    <row r="771" spans="1:42" ht="15.75" customHeight="1" x14ac:dyDescent="0.3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</row>
    <row r="772" spans="1:42" ht="15.75" customHeight="1" x14ac:dyDescent="0.3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</row>
    <row r="773" spans="1:42" ht="15.75" customHeight="1" x14ac:dyDescent="0.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</row>
    <row r="774" spans="1:42" ht="15.75" customHeight="1" x14ac:dyDescent="0.3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</row>
    <row r="775" spans="1:42" ht="15.75" customHeight="1" x14ac:dyDescent="0.3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</row>
    <row r="776" spans="1:42" ht="15.75" customHeight="1" x14ac:dyDescent="0.3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</row>
    <row r="777" spans="1:42" ht="15.75" customHeight="1" x14ac:dyDescent="0.3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</row>
    <row r="778" spans="1:42" ht="15.75" customHeight="1" x14ac:dyDescent="0.3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</row>
    <row r="779" spans="1:42" ht="15.75" customHeight="1" x14ac:dyDescent="0.3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</row>
    <row r="780" spans="1:42" ht="15.75" customHeight="1" x14ac:dyDescent="0.3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</row>
    <row r="781" spans="1:42" ht="15.75" customHeight="1" x14ac:dyDescent="0.3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</row>
    <row r="782" spans="1:42" ht="15.75" customHeight="1" x14ac:dyDescent="0.3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</row>
    <row r="783" spans="1:42" ht="15.75" customHeight="1" x14ac:dyDescent="0.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</row>
    <row r="784" spans="1:42" ht="15.75" customHeight="1" x14ac:dyDescent="0.3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</row>
    <row r="785" spans="1:42" ht="15.75" customHeight="1" x14ac:dyDescent="0.3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</row>
    <row r="786" spans="1:42" ht="15.75" customHeight="1" x14ac:dyDescent="0.3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</row>
    <row r="787" spans="1:42" ht="15.75" customHeight="1" x14ac:dyDescent="0.3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</row>
    <row r="788" spans="1:42" ht="15.75" customHeight="1" x14ac:dyDescent="0.3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</row>
    <row r="789" spans="1:42" ht="15.75" customHeight="1" x14ac:dyDescent="0.3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</row>
    <row r="790" spans="1:42" ht="15.75" customHeight="1" x14ac:dyDescent="0.3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</row>
    <row r="791" spans="1:42" ht="15.75" customHeight="1" x14ac:dyDescent="0.3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</row>
    <row r="792" spans="1:42" ht="15.75" customHeight="1" x14ac:dyDescent="0.3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</row>
    <row r="793" spans="1:42" ht="15.75" customHeight="1" x14ac:dyDescent="0.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</row>
    <row r="794" spans="1:42" ht="15.75" customHeight="1" x14ac:dyDescent="0.3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</row>
    <row r="795" spans="1:42" ht="15.75" customHeight="1" x14ac:dyDescent="0.3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</row>
    <row r="796" spans="1:42" ht="15.75" customHeight="1" x14ac:dyDescent="0.3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</row>
    <row r="797" spans="1:42" ht="15.75" customHeight="1" x14ac:dyDescent="0.3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</row>
    <row r="798" spans="1:42" ht="15.75" customHeight="1" x14ac:dyDescent="0.3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</row>
    <row r="799" spans="1:42" ht="15.75" customHeight="1" x14ac:dyDescent="0.3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</row>
    <row r="800" spans="1:42" ht="15.75" customHeight="1" x14ac:dyDescent="0.3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</row>
    <row r="801" spans="1:42" ht="15.75" customHeight="1" x14ac:dyDescent="0.3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</row>
    <row r="802" spans="1:42" ht="15.75" customHeight="1" x14ac:dyDescent="0.3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</row>
    <row r="803" spans="1:42" ht="15.75" customHeight="1" x14ac:dyDescent="0.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</row>
    <row r="804" spans="1:42" ht="15.75" customHeight="1" x14ac:dyDescent="0.3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</row>
    <row r="805" spans="1:42" ht="15.75" customHeight="1" x14ac:dyDescent="0.3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</row>
    <row r="806" spans="1:42" ht="15.75" customHeight="1" x14ac:dyDescent="0.3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</row>
    <row r="807" spans="1:42" ht="15.75" customHeight="1" x14ac:dyDescent="0.3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</row>
    <row r="808" spans="1:42" ht="15.75" customHeight="1" x14ac:dyDescent="0.3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</row>
    <row r="809" spans="1:42" ht="15.75" customHeight="1" x14ac:dyDescent="0.3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</row>
    <row r="810" spans="1:42" ht="15.75" customHeight="1" x14ac:dyDescent="0.3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</row>
    <row r="811" spans="1:42" ht="15.75" customHeight="1" x14ac:dyDescent="0.3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</row>
    <row r="812" spans="1:42" ht="15.75" customHeight="1" x14ac:dyDescent="0.3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</row>
    <row r="813" spans="1:42" ht="15.75" customHeight="1" x14ac:dyDescent="0.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</row>
    <row r="814" spans="1:42" ht="15.75" customHeight="1" x14ac:dyDescent="0.3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</row>
    <row r="815" spans="1:42" ht="15.75" customHeight="1" x14ac:dyDescent="0.3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</row>
    <row r="816" spans="1:42" ht="15.75" customHeight="1" x14ac:dyDescent="0.3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</row>
    <row r="817" spans="1:42" ht="15.75" customHeight="1" x14ac:dyDescent="0.3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</row>
    <row r="818" spans="1:42" ht="15.75" customHeight="1" x14ac:dyDescent="0.3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</row>
    <row r="819" spans="1:42" ht="15.75" customHeight="1" x14ac:dyDescent="0.3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</row>
    <row r="820" spans="1:42" ht="15.75" customHeight="1" x14ac:dyDescent="0.3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</row>
    <row r="821" spans="1:42" ht="15.75" customHeight="1" x14ac:dyDescent="0.3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</row>
    <row r="822" spans="1:42" ht="15.75" customHeight="1" x14ac:dyDescent="0.3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</row>
    <row r="823" spans="1:42" ht="15.75" customHeight="1" x14ac:dyDescent="0.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</row>
    <row r="824" spans="1:42" ht="15.75" customHeight="1" x14ac:dyDescent="0.3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</row>
    <row r="825" spans="1:42" ht="15.75" customHeight="1" x14ac:dyDescent="0.3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</row>
    <row r="826" spans="1:42" ht="15.75" customHeight="1" x14ac:dyDescent="0.3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</row>
    <row r="827" spans="1:42" ht="15.75" customHeight="1" x14ac:dyDescent="0.3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</row>
    <row r="828" spans="1:42" ht="15.75" customHeight="1" x14ac:dyDescent="0.3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</row>
    <row r="829" spans="1:42" ht="15.75" customHeight="1" x14ac:dyDescent="0.3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</row>
    <row r="830" spans="1:42" ht="15.75" customHeight="1" x14ac:dyDescent="0.3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</row>
    <row r="831" spans="1:42" ht="15.75" customHeight="1" x14ac:dyDescent="0.3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</row>
    <row r="832" spans="1:42" ht="15.75" customHeight="1" x14ac:dyDescent="0.3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</row>
    <row r="833" spans="1:42" ht="15.75" customHeight="1" x14ac:dyDescent="0.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</row>
    <row r="834" spans="1:42" ht="15.75" customHeight="1" x14ac:dyDescent="0.3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</row>
    <row r="835" spans="1:42" ht="15.75" customHeight="1" x14ac:dyDescent="0.3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</row>
    <row r="836" spans="1:42" ht="15.75" customHeight="1" x14ac:dyDescent="0.3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</row>
    <row r="837" spans="1:42" ht="15.75" customHeight="1" x14ac:dyDescent="0.3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</row>
    <row r="838" spans="1:42" ht="15.75" customHeight="1" x14ac:dyDescent="0.3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</row>
    <row r="839" spans="1:42" ht="15.75" customHeight="1" x14ac:dyDescent="0.3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</row>
    <row r="840" spans="1:42" ht="15.75" customHeight="1" x14ac:dyDescent="0.3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</row>
    <row r="841" spans="1:42" ht="15.75" customHeight="1" x14ac:dyDescent="0.3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</row>
    <row r="842" spans="1:42" ht="15.75" customHeight="1" x14ac:dyDescent="0.3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</row>
    <row r="843" spans="1:42" ht="15.75" customHeight="1" x14ac:dyDescent="0.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</row>
    <row r="844" spans="1:42" ht="15.75" customHeight="1" x14ac:dyDescent="0.3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</row>
    <row r="845" spans="1:42" ht="15.75" customHeight="1" x14ac:dyDescent="0.3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</row>
    <row r="846" spans="1:42" ht="15.75" customHeight="1" x14ac:dyDescent="0.3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</row>
    <row r="847" spans="1:42" ht="15.75" customHeight="1" x14ac:dyDescent="0.3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</row>
    <row r="848" spans="1:42" ht="15.75" customHeight="1" x14ac:dyDescent="0.3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</row>
    <row r="849" spans="1:42" ht="15.75" customHeight="1" x14ac:dyDescent="0.3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</row>
    <row r="850" spans="1:42" ht="15.75" customHeight="1" x14ac:dyDescent="0.3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</row>
    <row r="851" spans="1:42" ht="15.75" customHeight="1" x14ac:dyDescent="0.3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</row>
    <row r="852" spans="1:42" ht="15.75" customHeight="1" x14ac:dyDescent="0.3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</row>
    <row r="853" spans="1:42" ht="15.75" customHeight="1" x14ac:dyDescent="0.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</row>
    <row r="854" spans="1:42" ht="15.75" customHeight="1" x14ac:dyDescent="0.3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</row>
    <row r="855" spans="1:42" ht="15.75" customHeight="1" x14ac:dyDescent="0.3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</row>
    <row r="856" spans="1:42" ht="15.75" customHeight="1" x14ac:dyDescent="0.3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</row>
    <row r="857" spans="1:42" ht="15.75" customHeight="1" x14ac:dyDescent="0.3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</row>
    <row r="858" spans="1:42" ht="15.75" customHeight="1" x14ac:dyDescent="0.3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</row>
    <row r="859" spans="1:42" ht="15.75" customHeight="1" x14ac:dyDescent="0.3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</row>
    <row r="860" spans="1:42" ht="15.75" customHeight="1" x14ac:dyDescent="0.3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</row>
    <row r="861" spans="1:42" ht="15.75" customHeight="1" x14ac:dyDescent="0.3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</row>
    <row r="862" spans="1:42" ht="15.75" customHeight="1" x14ac:dyDescent="0.3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</row>
    <row r="863" spans="1:42" ht="15.75" customHeight="1" x14ac:dyDescent="0.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</row>
    <row r="864" spans="1:42" ht="15.75" customHeight="1" x14ac:dyDescent="0.3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</row>
    <row r="865" spans="1:42" ht="15.75" customHeight="1" x14ac:dyDescent="0.3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</row>
    <row r="866" spans="1:42" ht="15.75" customHeight="1" x14ac:dyDescent="0.3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</row>
    <row r="867" spans="1:42" ht="15.75" customHeight="1" x14ac:dyDescent="0.3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</row>
    <row r="868" spans="1:42" ht="15.75" customHeight="1" x14ac:dyDescent="0.3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</row>
    <row r="869" spans="1:42" ht="15.75" customHeight="1" x14ac:dyDescent="0.3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</row>
    <row r="870" spans="1:42" ht="15.75" customHeight="1" x14ac:dyDescent="0.3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</row>
    <row r="871" spans="1:42" ht="15.75" customHeight="1" x14ac:dyDescent="0.3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</row>
    <row r="872" spans="1:42" ht="15.75" customHeight="1" x14ac:dyDescent="0.3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</row>
    <row r="873" spans="1:42" ht="15.75" customHeight="1" x14ac:dyDescent="0.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</row>
    <row r="874" spans="1:42" ht="15.75" customHeight="1" x14ac:dyDescent="0.3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</row>
    <row r="875" spans="1:42" ht="15.75" customHeight="1" x14ac:dyDescent="0.3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</row>
    <row r="876" spans="1:42" ht="15.75" customHeight="1" x14ac:dyDescent="0.3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</row>
    <row r="877" spans="1:42" ht="15.75" customHeight="1" x14ac:dyDescent="0.3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</row>
    <row r="878" spans="1:42" ht="15.75" customHeight="1" x14ac:dyDescent="0.3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</row>
    <row r="879" spans="1:42" ht="15.75" customHeight="1" x14ac:dyDescent="0.3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</row>
    <row r="880" spans="1:42" ht="15.75" customHeight="1" x14ac:dyDescent="0.3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</row>
    <row r="881" spans="1:42" ht="15.75" customHeight="1" x14ac:dyDescent="0.3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</row>
    <row r="882" spans="1:42" ht="15.75" customHeight="1" x14ac:dyDescent="0.3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</row>
    <row r="883" spans="1:42" ht="15.75" customHeight="1" x14ac:dyDescent="0.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</row>
    <row r="884" spans="1:42" ht="15.75" customHeight="1" x14ac:dyDescent="0.3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</row>
    <row r="885" spans="1:42" ht="15.75" customHeight="1" x14ac:dyDescent="0.3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</row>
    <row r="886" spans="1:42" ht="15.75" customHeight="1" x14ac:dyDescent="0.3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</row>
    <row r="887" spans="1:42" ht="15.75" customHeight="1" x14ac:dyDescent="0.3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</row>
    <row r="888" spans="1:42" ht="15.75" customHeight="1" x14ac:dyDescent="0.3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</row>
    <row r="889" spans="1:42" ht="15.75" customHeight="1" x14ac:dyDescent="0.3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</row>
    <row r="890" spans="1:42" ht="15.75" customHeight="1" x14ac:dyDescent="0.3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</row>
    <row r="891" spans="1:42" ht="15.75" customHeight="1" x14ac:dyDescent="0.3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</row>
    <row r="892" spans="1:42" ht="15.75" customHeight="1" x14ac:dyDescent="0.3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</row>
    <row r="893" spans="1:42" ht="15.75" customHeight="1" x14ac:dyDescent="0.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</row>
    <row r="894" spans="1:42" ht="15.75" customHeight="1" x14ac:dyDescent="0.3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</row>
    <row r="895" spans="1:42" ht="15.75" customHeight="1" x14ac:dyDescent="0.3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</row>
    <row r="896" spans="1:42" ht="15.75" customHeight="1" x14ac:dyDescent="0.3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</row>
    <row r="897" spans="1:42" ht="15.75" customHeight="1" x14ac:dyDescent="0.3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</row>
    <row r="898" spans="1:42" ht="15.75" customHeight="1" x14ac:dyDescent="0.3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</row>
    <row r="899" spans="1:42" ht="15.75" customHeight="1" x14ac:dyDescent="0.3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</row>
    <row r="900" spans="1:42" ht="15.75" customHeight="1" x14ac:dyDescent="0.3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</row>
    <row r="901" spans="1:42" ht="15.75" customHeight="1" x14ac:dyDescent="0.3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</row>
    <row r="902" spans="1:42" ht="15.75" customHeight="1" x14ac:dyDescent="0.3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</row>
    <row r="903" spans="1:42" ht="15.75" customHeight="1" x14ac:dyDescent="0.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</row>
    <row r="904" spans="1:42" ht="15.75" customHeight="1" x14ac:dyDescent="0.3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</row>
    <row r="905" spans="1:42" ht="15.75" customHeight="1" x14ac:dyDescent="0.3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</row>
    <row r="906" spans="1:42" ht="15.75" customHeight="1" x14ac:dyDescent="0.3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</row>
    <row r="907" spans="1:42" ht="15.75" customHeight="1" x14ac:dyDescent="0.3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</row>
    <row r="908" spans="1:42" ht="15.75" customHeight="1" x14ac:dyDescent="0.3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</row>
    <row r="909" spans="1:42" ht="15.75" customHeight="1" x14ac:dyDescent="0.3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</row>
    <row r="910" spans="1:42" ht="15.75" customHeight="1" x14ac:dyDescent="0.3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</row>
    <row r="911" spans="1:42" ht="15.75" customHeight="1" x14ac:dyDescent="0.3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</row>
    <row r="912" spans="1:42" ht="15.75" customHeight="1" x14ac:dyDescent="0.3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</row>
    <row r="913" spans="1:42" ht="15.75" customHeight="1" x14ac:dyDescent="0.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</row>
    <row r="914" spans="1:42" ht="15.75" customHeight="1" x14ac:dyDescent="0.3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</row>
    <row r="915" spans="1:42" ht="15.75" customHeight="1" x14ac:dyDescent="0.3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</row>
    <row r="916" spans="1:42" ht="15.75" customHeight="1" x14ac:dyDescent="0.3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</row>
    <row r="917" spans="1:42" ht="15.75" customHeight="1" x14ac:dyDescent="0.3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</row>
    <row r="918" spans="1:42" ht="15.75" customHeight="1" x14ac:dyDescent="0.3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</row>
    <row r="919" spans="1:42" ht="15.75" customHeight="1" x14ac:dyDescent="0.3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</row>
    <row r="920" spans="1:42" ht="15.75" customHeight="1" x14ac:dyDescent="0.3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</row>
    <row r="921" spans="1:42" ht="15.75" customHeight="1" x14ac:dyDescent="0.3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</row>
    <row r="922" spans="1:42" ht="15.75" customHeight="1" x14ac:dyDescent="0.3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</row>
    <row r="923" spans="1:42" ht="15.75" customHeight="1" x14ac:dyDescent="0.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</row>
    <row r="924" spans="1:42" ht="15.75" customHeight="1" x14ac:dyDescent="0.3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</row>
    <row r="925" spans="1:42" ht="15.75" customHeight="1" x14ac:dyDescent="0.3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</row>
    <row r="926" spans="1:42" ht="15.75" customHeight="1" x14ac:dyDescent="0.3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</row>
    <row r="927" spans="1:42" ht="15.75" customHeight="1" x14ac:dyDescent="0.3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</row>
    <row r="928" spans="1:42" ht="15.75" customHeight="1" x14ac:dyDescent="0.3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</row>
    <row r="929" spans="1:42" ht="15.75" customHeight="1" x14ac:dyDescent="0.3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</row>
    <row r="930" spans="1:42" ht="15.75" customHeight="1" x14ac:dyDescent="0.3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</row>
    <row r="931" spans="1:42" ht="15.75" customHeight="1" x14ac:dyDescent="0.3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</row>
    <row r="932" spans="1:42" ht="15.75" customHeight="1" x14ac:dyDescent="0.3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</row>
    <row r="933" spans="1:42" ht="15.75" customHeight="1" x14ac:dyDescent="0.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</row>
    <row r="934" spans="1:42" ht="15.75" customHeight="1" x14ac:dyDescent="0.3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</row>
    <row r="935" spans="1:42" ht="15.75" customHeight="1" x14ac:dyDescent="0.3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</row>
    <row r="936" spans="1:42" ht="15.75" customHeight="1" x14ac:dyDescent="0.3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</row>
    <row r="937" spans="1:42" ht="15.75" customHeight="1" x14ac:dyDescent="0.3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</row>
    <row r="938" spans="1:42" ht="15.75" customHeight="1" x14ac:dyDescent="0.3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</row>
    <row r="939" spans="1:42" ht="15.75" customHeight="1" x14ac:dyDescent="0.3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</row>
    <row r="940" spans="1:42" ht="15.75" customHeight="1" x14ac:dyDescent="0.3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</row>
    <row r="941" spans="1:42" ht="15.75" customHeight="1" x14ac:dyDescent="0.3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</row>
    <row r="942" spans="1:42" ht="15.75" customHeight="1" x14ac:dyDescent="0.3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</row>
    <row r="943" spans="1:42" ht="15.75" customHeight="1" x14ac:dyDescent="0.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</row>
    <row r="944" spans="1:42" ht="15.75" customHeight="1" x14ac:dyDescent="0.3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</row>
    <row r="945" spans="1:42" ht="15.75" customHeight="1" x14ac:dyDescent="0.3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</row>
    <row r="946" spans="1:42" ht="15.75" customHeight="1" x14ac:dyDescent="0.3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</row>
    <row r="947" spans="1:42" ht="15.75" customHeight="1" x14ac:dyDescent="0.3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</row>
    <row r="948" spans="1:42" ht="15.75" customHeight="1" x14ac:dyDescent="0.3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</row>
    <row r="949" spans="1:42" ht="15.75" customHeight="1" x14ac:dyDescent="0.3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</row>
    <row r="950" spans="1:42" ht="15.75" customHeight="1" x14ac:dyDescent="0.3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</row>
    <row r="951" spans="1:42" ht="15.75" customHeight="1" x14ac:dyDescent="0.3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</row>
    <row r="952" spans="1:42" ht="15.75" customHeight="1" x14ac:dyDescent="0.3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</row>
    <row r="953" spans="1:42" ht="15.75" customHeight="1" x14ac:dyDescent="0.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</row>
    <row r="954" spans="1:42" ht="15.75" customHeight="1" x14ac:dyDescent="0.3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</row>
    <row r="955" spans="1:42" ht="15.75" customHeight="1" x14ac:dyDescent="0.3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</row>
    <row r="956" spans="1:42" ht="15.75" customHeight="1" x14ac:dyDescent="0.3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</row>
    <row r="957" spans="1:42" ht="15.75" customHeight="1" x14ac:dyDescent="0.3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</row>
    <row r="958" spans="1:42" ht="15.75" customHeight="1" x14ac:dyDescent="0.3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</row>
    <row r="959" spans="1:42" ht="15.75" customHeight="1" x14ac:dyDescent="0.3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</row>
    <row r="960" spans="1:42" ht="15.75" customHeight="1" x14ac:dyDescent="0.3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</row>
    <row r="961" spans="1:42" ht="15.75" customHeight="1" x14ac:dyDescent="0.3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</row>
    <row r="962" spans="1:42" ht="15.75" customHeight="1" x14ac:dyDescent="0.3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</row>
    <row r="963" spans="1:42" ht="15.75" customHeight="1" x14ac:dyDescent="0.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</row>
    <row r="964" spans="1:42" ht="15.75" customHeight="1" x14ac:dyDescent="0.3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</row>
    <row r="965" spans="1:42" ht="15.75" customHeight="1" x14ac:dyDescent="0.3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</row>
    <row r="966" spans="1:42" ht="15.75" customHeight="1" x14ac:dyDescent="0.3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</row>
    <row r="967" spans="1:42" ht="15.75" customHeight="1" x14ac:dyDescent="0.3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</row>
    <row r="968" spans="1:42" ht="15.75" customHeight="1" x14ac:dyDescent="0.3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</row>
    <row r="969" spans="1:42" ht="15.75" customHeight="1" x14ac:dyDescent="0.3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</row>
    <row r="970" spans="1:42" ht="15.75" customHeight="1" x14ac:dyDescent="0.3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</row>
    <row r="971" spans="1:42" ht="15.75" customHeight="1" x14ac:dyDescent="0.3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</row>
    <row r="972" spans="1:42" ht="15.75" customHeight="1" x14ac:dyDescent="0.3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</row>
    <row r="973" spans="1:42" ht="15.75" customHeight="1" x14ac:dyDescent="0.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</row>
    <row r="974" spans="1:42" ht="15.75" customHeight="1" x14ac:dyDescent="0.3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</row>
    <row r="975" spans="1:42" ht="15.75" customHeight="1" x14ac:dyDescent="0.3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</row>
    <row r="976" spans="1:42" ht="15.75" customHeight="1" x14ac:dyDescent="0.3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</row>
    <row r="977" spans="1:42" ht="15.75" customHeight="1" x14ac:dyDescent="0.3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</row>
    <row r="978" spans="1:42" ht="15.75" customHeight="1" x14ac:dyDescent="0.3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</row>
    <row r="979" spans="1:42" ht="15.75" customHeight="1" x14ac:dyDescent="0.3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</row>
    <row r="980" spans="1:42" ht="15.75" customHeight="1" x14ac:dyDescent="0.3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</row>
    <row r="981" spans="1:42" ht="15.75" customHeight="1" x14ac:dyDescent="0.3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</row>
    <row r="982" spans="1:42" ht="15.75" customHeight="1" x14ac:dyDescent="0.3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</row>
    <row r="983" spans="1:42" ht="15.75" customHeight="1" x14ac:dyDescent="0.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</row>
    <row r="984" spans="1:42" ht="15.75" customHeight="1" x14ac:dyDescent="0.3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</row>
    <row r="985" spans="1:42" ht="15.75" customHeight="1" x14ac:dyDescent="0.3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</row>
    <row r="986" spans="1:42" ht="15.75" customHeight="1" x14ac:dyDescent="0.3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</row>
    <row r="987" spans="1:42" ht="15.75" customHeight="1" x14ac:dyDescent="0.3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</row>
    <row r="988" spans="1:42" ht="15.75" customHeight="1" x14ac:dyDescent="0.3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</row>
    <row r="989" spans="1:42" ht="15.75" customHeight="1" x14ac:dyDescent="0.3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</row>
    <row r="990" spans="1:42" ht="15.75" customHeight="1" x14ac:dyDescent="0.3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</row>
    <row r="991" spans="1:42" ht="15.75" customHeight="1" x14ac:dyDescent="0.3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</row>
    <row r="992" spans="1:42" ht="15.75" customHeight="1" x14ac:dyDescent="0.3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</row>
    <row r="993" spans="1:42" ht="15.75" customHeight="1" x14ac:dyDescent="0.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</row>
    <row r="994" spans="1:42" ht="15.75" customHeight="1" x14ac:dyDescent="0.3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</row>
    <row r="995" spans="1:42" ht="15.75" customHeight="1" x14ac:dyDescent="0.3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</row>
    <row r="996" spans="1:42" ht="15.75" customHeight="1" x14ac:dyDescent="0.3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</row>
    <row r="997" spans="1:42" ht="15.75" customHeight="1" x14ac:dyDescent="0.3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</row>
    <row r="998" spans="1:42" ht="15.75" customHeight="1" x14ac:dyDescent="0.3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</row>
    <row r="999" spans="1:42" ht="15.75" customHeight="1" x14ac:dyDescent="0.3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</row>
    <row r="1000" spans="1:42" ht="15.75" customHeight="1" x14ac:dyDescent="0.3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Ajay D.S</dc:creator>
  <cp:lastModifiedBy>Francis Ajay D.S</cp:lastModifiedBy>
  <dcterms:created xsi:type="dcterms:W3CDTF">2025-12-19T10:13:13Z</dcterms:created>
  <dcterms:modified xsi:type="dcterms:W3CDTF">2025-12-19T10:13:28Z</dcterms:modified>
</cp:coreProperties>
</file>